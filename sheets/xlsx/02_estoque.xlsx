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0432aa750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oque" sheetId="1" r:id="Re315edfa3a14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ee42a99fa4532" /><Relationship Type="http://schemas.openxmlformats.org/officeDocument/2006/relationships/theme" Target="/xl/theme/theme1.xml" Id="R3ef82d2dcc09497d" /><Relationship Type="http://schemas.microsoft.com/office/2022/11/relationships/FeaturePropertyBag" Target="/xl/featurePropertyBag/featurePropertyBag.xml" Id="Rbd2f0dbe289d49f5" /><Relationship Type="http://schemas.openxmlformats.org/officeDocument/2006/relationships/sharedStrings" Target="/xl/sharedStrings.xml" Id="R3cc45d75c2e74693" /><Relationship Type="http://schemas.openxmlformats.org/officeDocument/2006/relationships/worksheet" Target="/xl/worksheets/sheet1.xml" Id="Re315edfa3a144a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stoqueTable" displayName="EstoqueTable" ref="A1:K10" headerRowCount="1" totalsRowCount="0" totalsRowShown="0">
  <x:tableColumns count="11">
    <x:tableColumn id="1" name="SKU"/>
    <x:tableColumn id="2" name="Produto"/>
    <x:tableColumn id="3" name="Categoria"/>
    <x:tableColumn id="4" name="Fornecedor"/>
    <x:tableColumn id="5" name="Estoque Atual"/>
    <x:tableColumn id="6" name="Estoque Mínimo"/>
    <x:tableColumn id="7" name="Custo Unit."/>
    <x:tableColumn id="8" name="Preço Venda"/>
    <x:tableColumn id="9" name="Última Entrada"/>
    <x:tableColumn id="10" name="Ativo"/>
    <x:tableColumn id="11" name="Reposição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ad29ab973e4e7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</x:cols>
  <x:sheetData>
    <x:row r="1">
      <x:c r="A1" s="16" t="str">
        <x:v>SKU</x:v>
      </x:c>
      <x:c r="B1" s="16" t="str">
        <x:v>Produto</x:v>
      </x:c>
      <x:c r="C1" s="16" t="str">
        <x:v>Categoria</x:v>
      </x:c>
      <x:c r="D1" s="16" t="str">
        <x:v>Fornecedor</x:v>
      </x:c>
      <x:c r="E1" s="16" t="str">
        <x:v>Estoque Atual</x:v>
      </x:c>
      <x:c r="F1" s="16" t="str">
        <x:v>Estoque Mínimo</x:v>
      </x:c>
      <x:c r="G1" s="16" t="str">
        <x:v>Custo Unit.</x:v>
      </x:c>
      <x:c r="H1" s="16" t="str">
        <x:v>Preço Venda</x:v>
      </x:c>
      <x:c r="I1" s="16" t="str">
        <x:v>Última Entrada</x:v>
      </x:c>
      <x:c r="J1" s="16" t="str">
        <x:v>Ativo</x:v>
      </x:c>
      <x:c r="K1" s="16" t="str">
        <x:v>Reposição?</x:v>
      </x:c>
    </x:row>
    <x:row r="2">
      <x:c r="A2" s="17" t="str">
        <x:v>EL-001</x:v>
      </x:c>
      <x:c r="B2" s="17" t="str">
        <x:v>Notebook Orion 14</x:v>
      </x:c>
      <x:c r="C2" s="17" t="str">
        <x:v>Eletrônicos</x:v>
      </x:c>
      <x:c r="D2" s="17" t="str">
        <x:v>TechSul</x:v>
      </x:c>
      <x:c r="E2" s="17" t="n">
        <x:v>14</x:v>
      </x:c>
      <x:c r="F2" s="17" t="n">
        <x:v>8</x:v>
      </x:c>
      <x:c r="G2" s="18" t="n">
        <x:v>3380</x:v>
      </x:c>
      <x:c r="H2" s="18" t="n">
        <x:v>4299.9</x:v>
      </x:c>
      <x:c r="I2" s="19" t="n">
        <x:v>46290</x:v>
      </x:c>
      <x:c r="J2" s="20" t="b">
        <x:v>1</x:v>
      </x:c>
      <x:c r="K2" s="17" t="str">
        <x:f>IF(E2&lt;=F2,"SIM","NÃO")</x:f>
        <x:v>NÃO</x:v>
      </x:c>
    </x:row>
    <x:row r="3">
      <x:c r="A3" s="17" t="str">
        <x:v>AC-002</x:v>
      </x:c>
      <x:c r="B3" s="17" t="str">
        <x:v>Mouse Vector</x:v>
      </x:c>
      <x:c r="C3" s="17" t="str">
        <x:v>Acessórios</x:v>
      </x:c>
      <x:c r="D3" s="17" t="str">
        <x:v>InputPro</x:v>
      </x:c>
      <x:c r="E3" s="17" t="n">
        <x:v>62</x:v>
      </x:c>
      <x:c r="F3" s="17" t="n">
        <x:v>20</x:v>
      </x:c>
      <x:c r="G3" s="18" t="n">
        <x:v>61.5</x:v>
      </x:c>
      <x:c r="H3" s="18" t="n">
        <x:v>119.9</x:v>
      </x:c>
      <x:c r="I3" s="19" t="n">
        <x:v>46293</x:v>
      </x:c>
      <x:c r="J3" s="20" t="b">
        <x:v>1</x:v>
      </x:c>
      <x:c r="K3" s="17" t="str">
        <x:f>IF(E3&lt;=F3,"SIM","NÃO")</x:f>
        <x:v>NÃO</x:v>
      </x:c>
    </x:row>
    <x:row r="4">
      <x:c r="A4" s="17" t="str">
        <x:v>EL-003</x:v>
      </x:c>
      <x:c r="B4" s="17" t="str">
        <x:v>Monitor Apex 27</x:v>
      </x:c>
      <x:c r="C4" s="17" t="str">
        <x:v>Eletrônicos</x:v>
      </x:c>
      <x:c r="D4" s="17" t="str">
        <x:v>VisionBR</x:v>
      </x:c>
      <x:c r="E4" s="17" t="n">
        <x:v>7</x:v>
      </x:c>
      <x:c r="F4" s="17" t="n">
        <x:v>10</x:v>
      </x:c>
      <x:c r="G4" s="18" t="n">
        <x:v>1090</x:v>
      </x:c>
      <x:c r="H4" s="18" t="n">
        <x:v>1599</x:v>
      </x:c>
      <x:c r="I4" s="19" t="n">
        <x:v>46287</x:v>
      </x:c>
      <x:c r="J4" s="20" t="b">
        <x:v>1</x:v>
      </x:c>
      <x:c r="K4" s="17" t="str">
        <x:f>IF(E4&lt;=F4,"SIM","NÃO")</x:f>
        <x:v>SIM</x:v>
      </x:c>
    </x:row>
    <x:row r="5">
      <x:c r="A5" s="17" t="str">
        <x:v>AC-004</x:v>
      </x:c>
      <x:c r="B5" s="17" t="str">
        <x:v>Teclado Nova</x:v>
      </x:c>
      <x:c r="C5" s="17" t="str">
        <x:v>Acessórios</x:v>
      </x:c>
      <x:c r="D5" s="17" t="str">
        <x:v>InputPro</x:v>
      </x:c>
      <x:c r="E5" s="17" t="n">
        <x:v>0</x:v>
      </x:c>
      <x:c r="F5" s="17" t="n">
        <x:v>15</x:v>
      </x:c>
      <x:c r="G5" s="18" t="n">
        <x:v>149.9</x:v>
      </x:c>
      <x:c r="H5" s="18" t="n">
        <x:v>289.9</x:v>
      </x:c>
      <x:c r="I5" s="19" t="n">
        <x:v>46264</x:v>
      </x:c>
      <x:c r="J5" s="20" t="b">
        <x:v>1</x:v>
      </x:c>
      <x:c r="K5" s="17" t="str">
        <x:f>IF(E5&lt;=F5,"SIM","NÃO")</x:f>
        <x:v>SIM</x:v>
      </x:c>
    </x:row>
    <x:row r="6">
      <x:c r="A6" s="17" t="str">
        <x:v>MO-005</x:v>
      </x:c>
      <x:c r="B6" s="17" t="str">
        <x:v>Cadeira Flux</x:v>
      </x:c>
      <x:c r="C6" s="17" t="str">
        <x:v>Móveis</x:v>
      </x:c>
      <x:c r="D6" s="17" t="str">
        <x:v>ErgoMais</x:v>
      </x:c>
      <x:c r="E6" s="17" t="n">
        <x:v>11</x:v>
      </x:c>
      <x:c r="F6" s="17" t="n">
        <x:v>5</x:v>
      </x:c>
      <x:c r="G6" s="18" t="n">
        <x:v>820</x:v>
      </x:c>
      <x:c r="H6" s="18" t="n">
        <x:v>1290</x:v>
      </x:c>
      <x:c r="I6" s="19" t="n">
        <x:v>46283</x:v>
      </x:c>
      <x:c r="J6" s="20" t="b">
        <x:v>1</x:v>
      </x:c>
      <x:c r="K6" s="17" t="str">
        <x:f>IF(E6&lt;=F6,"SIM","NÃO")</x:f>
        <x:v>NÃO</x:v>
      </x:c>
    </x:row>
    <x:row r="7">
      <x:c r="A7" s="17" t="str">
        <x:v>AC-006</x:v>
      </x:c>
      <x:c r="B7" s="17" t="str">
        <x:v>Headset Pulse</x:v>
      </x:c>
      <x:c r="C7" s="17" t="str">
        <x:v>Acessórios</x:v>
      </x:c>
      <x:c r="D7" s="17" t="str">
        <x:v>SoundBox</x:v>
      </x:c>
      <x:c r="E7" s="17" t="n">
        <x:v>9</x:v>
      </x:c>
      <x:c r="F7" s="17" t="n">
        <x:v>12</x:v>
      </x:c>
      <x:c r="G7" s="18" t="n">
        <x:v>188</x:v>
      </x:c>
      <x:c r="H7" s="18" t="n">
        <x:v>349.9</x:v>
      </x:c>
      <x:c r="I7" s="19" t="n">
        <x:v>46284</x:v>
      </x:c>
      <x:c r="J7" s="20" t="b">
        <x:v>1</x:v>
      </x:c>
      <x:c r="K7" s="17" t="str">
        <x:f>IF(E7&lt;=F7,"SIM","NÃO")</x:f>
        <x:v>SIM</x:v>
      </x:c>
    </x:row>
    <x:row r="8">
      <x:c r="A8" s="17" t="str">
        <x:v>MO-007</x:v>
      </x:c>
      <x:c r="B8" s="17" t="str">
        <x:v>Mesa Lift</x:v>
      </x:c>
      <x:c r="C8" s="17" t="str">
        <x:v>Móveis</x:v>
      </x:c>
      <x:c r="D8" s="17" t="str">
        <x:v>ErgoMais</x:v>
      </x:c>
      <x:c r="E8" s="17" t="n">
        <x:v>4</x:v>
      </x:c>
      <x:c r="F8" s="17" t="n">
        <x:v>4</x:v>
      </x:c>
      <x:c r="G8" s="18" t="n">
        <x:v>1260</x:v>
      </x:c>
      <x:c r="H8" s="18" t="n">
        <x:v>1850</x:v>
      </x:c>
      <x:c r="I8" s="19" t="n">
        <x:v>46291</x:v>
      </x:c>
      <x:c r="J8" s="20" t="b">
        <x:v>1</x:v>
      </x:c>
      <x:c r="K8" s="17" t="str">
        <x:f>IF(E8&lt;=F8,"SIM","NÃO")</x:f>
        <x:v>SIM</x:v>
      </x:c>
    </x:row>
    <x:row r="9">
      <x:c r="A9" s="17" t="str">
        <x:v>AC-008</x:v>
      </x:c>
      <x:c r="B9" s="17" t="str">
        <x:v>Webcam Iris</x:v>
      </x:c>
      <x:c r="C9" s="17" t="str">
        <x:v>Acessórios</x:v>
      </x:c>
      <x:c r="D9" s="17" t="str">
        <x:v>VisionBR</x:v>
      </x:c>
      <x:c r="E9" s="17" t="n">
        <x:v>31</x:v>
      </x:c>
      <x:c r="F9" s="17" t="n">
        <x:v>10</x:v>
      </x:c>
      <x:c r="G9" s="18" t="n">
        <x:v>132</x:v>
      </x:c>
      <x:c r="H9" s="18" t="n">
        <x:v>249.9</x:v>
      </x:c>
      <x:c r="I9" s="19" t="n">
        <x:v>46292</x:v>
      </x:c>
      <x:c r="J9" s="20" t="b">
        <x:v>1</x:v>
      </x:c>
      <x:c r="K9" s="17" t="str">
        <x:f>IF(E9&lt;=F9,"SIM","NÃO")</x:f>
        <x:v>NÃO</x:v>
      </x:c>
    </x:row>
    <x:row r="10">
      <x:c r="A10" s="17" t="str">
        <x:v>AC-009</x:v>
      </x:c>
      <x:c r="B10" s="17" t="str">
        <x:v>Hub USB-C Orbit</x:v>
      </x:c>
      <x:c r="C10" s="17" t="str">
        <x:v>Acessórios</x:v>
      </x:c>
      <x:c r="D10" s="17" t="str">
        <x:v>InputPro</x:v>
      </x:c>
      <x:c r="E10" s="17" t="n">
        <x:v>18</x:v>
      </x:c>
      <x:c r="F10" s="17" t="n">
        <x:v>15</x:v>
      </x:c>
      <x:c r="G10" s="18" t="n">
        <x:v>96</x:v>
      </x:c>
      <x:c r="H10" s="18" t="n">
        <x:v>189.9</x:v>
      </x:c>
      <x:c r="I10" s="19" t="n">
        <x:v>46285</x:v>
      </x:c>
      <x:c r="J10" s="20" t="b">
        <x:v>0</x:v>
      </x:c>
      <x:c r="K10" s="17" t="str">
        <x:f>IF(E10&lt;=F10,"SIM","NÃO")</x:f>
        <x:v>NÃO</x:v>
      </x:c>
    </x:row>
  </x:sheetData>
  <x:conditionalFormatting sqref="E2:E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{A14B9619-DDB9-C9F6-ACC3-0E3420CF2624}</x14:id>
        </x:ext>
      </x:extLst>
    </x:cfRule>
  </x:conditionalFormatting>
  <x:conditionalFormatting sqref="K2:K10">
    <x:cfRule type="expression" dxfId="0" priority="2">
      <x:formula>K2="SIM"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ad29ab973e4e7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14B9619-DDB9-C9F6-ACC3-0E3420CF2624}">
            <x14:dataBar gradient="1">
              <x14:cfvo type="min"/>
              <x14:cfvo type="max"/>
              <x14:fillColor rgb="FFA02B93"/>
            </x14:dataBar>
          </x14:cfRule>
          <xm:sqref>E2:E10</xm:sqref>
        </x14:conditionalFormatting>
      </x14:conditionalFormattings>
    </x:ext>
  </x:extLst>
</x:worksheet>
</file>