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08f126288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16fd1b5bef0843da"/>
    <x:sheet xmlns:r="http://schemas.openxmlformats.org/officeDocument/2006/relationships" name="Produtos" sheetId="2" r:id="R829a3a37f7ff4e31"/>
    <x:sheet xmlns:r="http://schemas.openxmlformats.org/officeDocument/2006/relationships" name="Vendedores" sheetId="3" r:id="R94e64fecee1c49f3"/>
    <x:sheet xmlns:r="http://schemas.openxmlformats.org/officeDocument/2006/relationships" name="Pedidos" sheetId="4" r:id="R74c824db308d48c8"/>
    <x:sheet xmlns:r="http://schemas.openxmlformats.org/officeDocument/2006/relationships" name="Dashboard" sheetId="5" r:id="Rea6bb62d1ab1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%"/>
    <x:numFmt numFmtId="202" formatCode="dd/mm/yyyy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61c552d6c4697" /><Relationship Type="http://schemas.openxmlformats.org/officeDocument/2006/relationships/theme" Target="/xl/theme/theme1.xml" Id="R145dd47557064c25" /><Relationship Type="http://schemas.microsoft.com/office/2022/11/relationships/FeaturePropertyBag" Target="/xl/featurePropertyBag/featurePropertyBag.xml" Id="Rc14776fce2b7466a" /><Relationship Type="http://schemas.openxmlformats.org/officeDocument/2006/relationships/sharedStrings" Target="/xl/sharedStrings.xml" Id="Rdbe7fe249ddf44f3" /><Relationship Type="http://schemas.openxmlformats.org/officeDocument/2006/relationships/worksheet" Target="/xl/worksheets/sheet1.xml" Id="R16fd1b5bef0843da" /><Relationship Type="http://schemas.openxmlformats.org/officeDocument/2006/relationships/worksheet" Target="/xl/worksheets/sheet2.xml" Id="R829a3a37f7ff4e31" /><Relationship Type="http://schemas.openxmlformats.org/officeDocument/2006/relationships/worksheet" Target="/xl/worksheets/sheet3.xml" Id="R94e64fecee1c49f3" /><Relationship Type="http://schemas.openxmlformats.org/officeDocument/2006/relationships/worksheet" Target="/xl/worksheets/sheet4.xml" Id="R74c824db308d48c8" /><Relationship Type="http://schemas.openxmlformats.org/officeDocument/2006/relationships/worksheet" Target="/xl/worksheets/sheet5.xml" Id="Rea6bb62d1ab1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F9" headerRowCount="1" totalsRowCount="0" totalsRowShown="0">
  <x:tableColumns count="6">
    <x:tableColumn id="1" name="ID_Cliente"/>
    <x:tableColumn id="2" name="Nome"/>
    <x:tableColumn id="3" name="Cidade"/>
    <x:tableColumn id="4" name="UF"/>
    <x:tableColumn id="5" name="Segmento"/>
    <x:tableColumn id="6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tosTable" displayName="ProdutosTable" ref="A1:G9" headerRowCount="1" totalsRowCount="0" totalsRowShown="0">
  <x:tableColumns count="7">
    <x:tableColumn id="1" name="ID_Produto"/>
    <x:tableColumn id="2" name="Produto"/>
    <x:tableColumn id="3" name="Categoria"/>
    <x:tableColumn id="4" name="Fornecedor"/>
    <x:tableColumn id="5" name="Custo"/>
    <x:tableColumn id="6" name="Preço"/>
    <x:tableColumn id="7" name="Estoq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dedoresTable" displayName="VendedoresTable" ref="A1:E6" headerRowCount="1" totalsRowCount="0" totalsRowShown="0">
  <x:tableColumns count="5">
    <x:tableColumn id="1" name="ID_Vendedor"/>
    <x:tableColumn id="2" name="Nome"/>
    <x:tableColumn id="3" name="Região"/>
    <x:tableColumn id="4" name="Meta_Mensal"/>
    <x:tableColumn id="5" name="Comiss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didosTable" displayName="PedidosTable" ref="A1:I13" headerRowCount="1" totalsRowCount="0" totalsRowShown="0">
  <x:tableColumns count="9">
    <x:tableColumn id="1" name="Pedido"/>
    <x:tableColumn id="2" name="Data"/>
    <x:tableColumn id="3" name="ID_Cliente"/>
    <x:tableColumn id="4" name="ID_Produto"/>
    <x:tableColumn id="5" name="ID_Vendedor"/>
    <x:tableColumn id="6" name="Qtd"/>
    <x:tableColumn id="7" name="Desconto"/>
    <x:tableColumn id="8" name="Status"/>
    <x:tableColumn id="9" name="Valor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2324d85c0c4e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cfa95224dc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2c3d90a555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f7ee8b7f6447d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8" hidden="0" customWidth="1"/>
    <x:col min="5" max="5" width="16" hidden="0" customWidth="1"/>
    <x:col min="6" max="6" width="10" hidden="0" customWidth="1"/>
  </x:cols>
  <x:sheetData>
    <x:row r="1">
      <x:c r="A1" s="7" t="str">
        <x:v>ID_Cliente</x:v>
      </x:c>
      <x:c r="B1" s="7" t="str">
        <x:v>Nome</x:v>
      </x:c>
      <x:c r="C1" s="7" t="str">
        <x:v>Cidade</x:v>
      </x:c>
      <x:c r="D1" s="7" t="str">
        <x:v>UF</x:v>
      </x:c>
      <x:c r="E1" s="7" t="str">
        <x:v>Segmento</x:v>
      </x:c>
      <x:c r="F1" s="7" t="str">
        <x:v>Ativo</x:v>
      </x:c>
    </x:row>
    <x:row r="2">
      <x:c r="A2" t="str">
        <x:v>C001</x:v>
      </x:c>
      <x:c r="B2" t="str">
        <x:v>Mercado Sol</x:v>
      </x:c>
      <x:c r="C2" t="str">
        <x:v>Cuiabá</x:v>
      </x:c>
      <x:c r="D2" t="str">
        <x:v>MT</x:v>
      </x:c>
      <x:c r="E2" t="str">
        <x:v>Varejo</x:v>
      </x:c>
      <x:c r="F2" s="1" t="b">
        <x:v>1</x:v>
      </x:c>
    </x:row>
    <x:row r="3">
      <x:c r="A3" t="str">
        <x:v>C002</x:v>
      </x:c>
      <x:c r="B3" t="str">
        <x:v>Tech Center</x:v>
      </x:c>
      <x:c r="C3" t="str">
        <x:v>Goiânia</x:v>
      </x:c>
      <x:c r="D3" t="str">
        <x:v>GO</x:v>
      </x:c>
      <x:c r="E3" t="str">
        <x:v>Tecnologia</x:v>
      </x:c>
      <x:c r="F3" s="1" t="b">
        <x:v>1</x:v>
      </x:c>
    </x:row>
    <x:row r="4">
      <x:c r="A4" t="str">
        <x:v>C003</x:v>
      </x:c>
      <x:c r="B4" t="str">
        <x:v>Office Mais</x:v>
      </x:c>
      <x:c r="C4" t="str">
        <x:v>Campo Grande</x:v>
      </x:c>
      <x:c r="D4" t="str">
        <x:v>MS</x:v>
      </x:c>
      <x:c r="E4" t="str">
        <x:v>Corporativo</x:v>
      </x:c>
      <x:c r="F4" s="1" t="b">
        <x:v>1</x:v>
      </x:c>
    </x:row>
    <x:row r="5">
      <x:c r="A5" t="str">
        <x:v>C004</x:v>
      </x:c>
      <x:c r="B5" t="str">
        <x:v>Loja Central</x:v>
      </x:c>
      <x:c r="C5" t="str">
        <x:v>Rondonópolis</x:v>
      </x:c>
      <x:c r="D5" t="str">
        <x:v>MT</x:v>
      </x:c>
      <x:c r="E5" t="str">
        <x:v>Varejo</x:v>
      </x:c>
      <x:c r="F5" s="1" t="b">
        <x:v>1</x:v>
      </x:c>
    </x:row>
    <x:row r="6">
      <x:c r="A6" t="str">
        <x:v>C005</x:v>
      </x:c>
      <x:c r="B6" t="str">
        <x:v>Norte Sistemas</x:v>
      </x:c>
      <x:c r="C6" t="str">
        <x:v>Sinop</x:v>
      </x:c>
      <x:c r="D6" t="str">
        <x:v>MT</x:v>
      </x:c>
      <x:c r="E6" t="str">
        <x:v>Tecnologia</x:v>
      </x:c>
      <x:c r="F6" s="1" t="b">
        <x:v>1</x:v>
      </x:c>
    </x:row>
    <x:row r="7">
      <x:c r="A7" t="str">
        <x:v>C006</x:v>
      </x:c>
      <x:c r="B7" t="str">
        <x:v>Casa Nova</x:v>
      </x:c>
      <x:c r="C7" t="str">
        <x:v>Cuiabá</x:v>
      </x:c>
      <x:c r="D7" t="str">
        <x:v>MT</x:v>
      </x:c>
      <x:c r="E7" t="str">
        <x:v>Varejo</x:v>
      </x:c>
      <x:c r="F7" s="1" t="b">
        <x:v>0</x:v>
      </x:c>
    </x:row>
    <x:row r="8">
      <x:c r="A8" t="str">
        <x:v>C007</x:v>
      </x:c>
      <x:c r="B8" t="str">
        <x:v>Alfa Serviços</x:v>
      </x:c>
      <x:c r="C8" t="str">
        <x:v>Brasília</x:v>
      </x:c>
      <x:c r="D8" t="str">
        <x:v>DF</x:v>
      </x:c>
      <x:c r="E8" t="str">
        <x:v>Serviços</x:v>
      </x:c>
      <x:c r="F8" s="1" t="b">
        <x:v>1</x:v>
      </x:c>
    </x:row>
    <x:row r="9">
      <x:c r="A9" t="str">
        <x:v>C008</x:v>
      </x:c>
      <x:c r="B9" t="str">
        <x:v>Beta Consultoria</x:v>
      </x:c>
      <x:c r="C9" t="str">
        <x:v>Cuiabá</x:v>
      </x:c>
      <x:c r="D9" t="str">
        <x:v>MT</x:v>
      </x:c>
      <x:c r="E9" t="str">
        <x:v>Serviços</x:v>
      </x:c>
      <x:c r="F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a2324d85c0c4e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</x:cols>
  <x:sheetData>
    <x:row r="1">
      <x:c r="A1" s="7" t="str">
        <x:v>ID_Produto</x:v>
      </x:c>
      <x:c r="B1" s="7" t="str">
        <x:v>Produto</x:v>
      </x:c>
      <x:c r="C1" s="7" t="str">
        <x:v>Categoria</x:v>
      </x:c>
      <x:c r="D1" s="7" t="str">
        <x:v>Fornecedor</x:v>
      </x:c>
      <x:c r="E1" s="7" t="str">
        <x:v>Custo</x:v>
      </x:c>
      <x:c r="F1" s="7" t="str">
        <x:v>Preço</x:v>
      </x:c>
      <x:c r="G1" s="7" t="str">
        <x:v>Estoque</x:v>
      </x:c>
    </x:row>
    <x:row r="2">
      <x:c r="A2" t="str">
        <x:v>P001</x:v>
      </x:c>
      <x:c r="B2" t="str">
        <x:v>Notebook Orion 14</x:v>
      </x:c>
      <x:c r="C2" t="str">
        <x:v>Eletrônicos</x:v>
      </x:c>
      <x:c r="D2" t="str">
        <x:v>TechSul</x:v>
      </x:c>
      <x:c r="E2" s="12" t="n">
        <x:v>3380</x:v>
      </x:c>
      <x:c r="F2" s="12" t="n">
        <x:v>4299.9</x:v>
      </x:c>
      <x:c r="G2" t="n">
        <x:v>14</x:v>
      </x:c>
    </x:row>
    <x:row r="3">
      <x:c r="A3" t="str">
        <x:v>P002</x:v>
      </x:c>
      <x:c r="B3" t="str">
        <x:v>Mouse Vector</x:v>
      </x:c>
      <x:c r="C3" t="str">
        <x:v>Acessórios</x:v>
      </x:c>
      <x:c r="D3" t="str">
        <x:v>InputPro</x:v>
      </x:c>
      <x:c r="E3" s="12" t="n">
        <x:v>61.5</x:v>
      </x:c>
      <x:c r="F3" s="12" t="n">
        <x:v>119.9</x:v>
      </x:c>
      <x:c r="G3" t="n">
        <x:v>62</x:v>
      </x:c>
    </x:row>
    <x:row r="4">
      <x:c r="A4" t="str">
        <x:v>P003</x:v>
      </x:c>
      <x:c r="B4" t="str">
        <x:v>Monitor Apex 27</x:v>
      </x:c>
      <x:c r="C4" t="str">
        <x:v>Eletrônicos</x:v>
      </x:c>
      <x:c r="D4" t="str">
        <x:v>VisionBR</x:v>
      </x:c>
      <x:c r="E4" s="12" t="n">
        <x:v>1090</x:v>
      </x:c>
      <x:c r="F4" s="12" t="n">
        <x:v>1599</x:v>
      </x:c>
      <x:c r="G4" t="n">
        <x:v>7</x:v>
      </x:c>
    </x:row>
    <x:row r="5">
      <x:c r="A5" t="str">
        <x:v>P004</x:v>
      </x:c>
      <x:c r="B5" t="str">
        <x:v>Teclado Nova</x:v>
      </x:c>
      <x:c r="C5" t="str">
        <x:v>Acessórios</x:v>
      </x:c>
      <x:c r="D5" t="str">
        <x:v>InputPro</x:v>
      </x:c>
      <x:c r="E5" s="12" t="n">
        <x:v>149.9</x:v>
      </x:c>
      <x:c r="F5" s="12" t="n">
        <x:v>289.9</x:v>
      </x:c>
      <x:c r="G5" t="n">
        <x:v>0</x:v>
      </x:c>
    </x:row>
    <x:row r="6">
      <x:c r="A6" t="str">
        <x:v>P005</x:v>
      </x:c>
      <x:c r="B6" t="str">
        <x:v>Cadeira Flux</x:v>
      </x:c>
      <x:c r="C6" t="str">
        <x:v>Móveis</x:v>
      </x:c>
      <x:c r="D6" t="str">
        <x:v>ErgoMais</x:v>
      </x:c>
      <x:c r="E6" s="12" t="n">
        <x:v>820</x:v>
      </x:c>
      <x:c r="F6" s="12" t="n">
        <x:v>1290</x:v>
      </x:c>
      <x:c r="G6" t="n">
        <x:v>11</x:v>
      </x:c>
    </x:row>
    <x:row r="7">
      <x:c r="A7" t="str">
        <x:v>P006</x:v>
      </x:c>
      <x:c r="B7" t="str">
        <x:v>Headset Pulse</x:v>
      </x:c>
      <x:c r="C7" t="str">
        <x:v>Acessórios</x:v>
      </x:c>
      <x:c r="D7" t="str">
        <x:v>SoundBox</x:v>
      </x:c>
      <x:c r="E7" s="12" t="n">
        <x:v>188</x:v>
      </x:c>
      <x:c r="F7" s="12" t="n">
        <x:v>349.9</x:v>
      </x:c>
      <x:c r="G7" t="n">
        <x:v>9</x:v>
      </x:c>
    </x:row>
    <x:row r="8">
      <x:c r="A8" t="str">
        <x:v>P007</x:v>
      </x:c>
      <x:c r="B8" t="str">
        <x:v>Mesa Lift</x:v>
      </x:c>
      <x:c r="C8" t="str">
        <x:v>Móveis</x:v>
      </x:c>
      <x:c r="D8" t="str">
        <x:v>ErgoMais</x:v>
      </x:c>
      <x:c r="E8" s="12" t="n">
        <x:v>1260</x:v>
      </x:c>
      <x:c r="F8" s="12" t="n">
        <x:v>1850</x:v>
      </x:c>
      <x:c r="G8" t="n">
        <x:v>4</x:v>
      </x:c>
    </x:row>
    <x:row r="9">
      <x:c r="A9" t="str">
        <x:v>P008</x:v>
      </x:c>
      <x:c r="B9" t="str">
        <x:v>Webcam Iris</x:v>
      </x:c>
      <x:c r="C9" t="str">
        <x:v>Acessórios</x:v>
      </x:c>
      <x:c r="D9" t="str">
        <x:v>VisionBR</x:v>
      </x:c>
      <x:c r="E9" s="12" t="n">
        <x:v>132</x:v>
      </x:c>
      <x:c r="F9" s="12" t="n">
        <x:v>249.9</x:v>
      </x:c>
      <x:c r="G9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77cfa95224dc45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5" hidden="0" customWidth="1"/>
    <x:col min="5" max="5" width="15" hidden="0" customWidth="1"/>
  </x:cols>
  <x:sheetData>
    <x:row r="1">
      <x:c r="A1" s="7" t="str">
        <x:v>ID_Vendedor</x:v>
      </x:c>
      <x:c r="B1" s="7" t="str">
        <x:v>Nome</x:v>
      </x:c>
      <x:c r="C1" s="7" t="str">
        <x:v>Região</x:v>
      </x:c>
      <x:c r="D1" s="7" t="str">
        <x:v>Meta_Mensal</x:v>
      </x:c>
      <x:c r="E1" s="7" t="str">
        <x:v>Comissão</x:v>
      </x:c>
    </x:row>
    <x:row r="2">
      <x:c r="A2" t="str">
        <x:v>V001</x:v>
      </x:c>
      <x:c r="B2" t="str">
        <x:v>Ana</x:v>
      </x:c>
      <x:c r="C2" t="str">
        <x:v>Centro-Oeste</x:v>
      </x:c>
      <x:c r="D2" s="12" t="n">
        <x:v>25000</x:v>
      </x:c>
      <x:c r="E2" s="14" t="n">
        <x:v>0.03</x:v>
      </x:c>
    </x:row>
    <x:row r="3">
      <x:c r="A3" t="str">
        <x:v>V002</x:v>
      </x:c>
      <x:c r="B3" t="str">
        <x:v>Bruno</x:v>
      </x:c>
      <x:c r="C3" t="str">
        <x:v>Sudeste</x:v>
      </x:c>
      <x:c r="D3" s="12" t="n">
        <x:v>32000</x:v>
      </x:c>
      <x:c r="E3" s="14" t="n">
        <x:v>0.035</x:v>
      </x:c>
    </x:row>
    <x:row r="4">
      <x:c r="A4" t="str">
        <x:v>V003</x:v>
      </x:c>
      <x:c r="B4" t="str">
        <x:v>Carla</x:v>
      </x:c>
      <x:c r="C4" t="str">
        <x:v>Sul</x:v>
      </x:c>
      <x:c r="D4" s="12" t="n">
        <x:v>28000</x:v>
      </x:c>
      <x:c r="E4" s="14" t="n">
        <x:v>0.03</x:v>
      </x:c>
    </x:row>
    <x:row r="5">
      <x:c r="A5" t="str">
        <x:v>V004</x:v>
      </x:c>
      <x:c r="B5" t="str">
        <x:v>Diego</x:v>
      </x:c>
      <x:c r="C5" t="str">
        <x:v>Nordeste</x:v>
      </x:c>
      <x:c r="D5" s="12" t="n">
        <x:v>22000</x:v>
      </x:c>
      <x:c r="E5" s="14" t="n">
        <x:v>0.025</x:v>
      </x:c>
    </x:row>
    <x:row r="6">
      <x:c r="A6" t="str">
        <x:v>V005</x:v>
      </x:c>
      <x:c r="B6" t="str">
        <x:v>Elisa</x:v>
      </x:c>
      <x:c r="C6" t="str">
        <x:v>Centro-Oeste</x:v>
      </x:c>
      <x:c r="D6" s="12" t="n">
        <x:v>30000</x:v>
      </x:c>
      <x:c r="E6" s="14" t="n">
        <x:v>0.04</x:v>
      </x:c>
    </x:row>
  </x:sheetData>
  <x:pageMargins left="0.7" right="0.7" top="0.75" bottom="0.75" header="0.3" footer="0.3"/>
  <x:tableParts count="1">
    <x:tablePart xmlns:r="http://schemas.openxmlformats.org/officeDocument/2006/relationships" r:id="R5c2c3d90a5554a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8" hidden="0" customWidth="1"/>
    <x:col min="7" max="7" width="10" hidden="0" customWidth="1"/>
    <x:col min="8" max="8" width="13" hidden="0" customWidth="1"/>
    <x:col min="9" max="9" width="15" hidden="0" customWidth="1"/>
  </x:cols>
  <x:sheetData>
    <x:row r="1">
      <x:c r="A1" s="7" t="str">
        <x:v>Pedido</x:v>
      </x:c>
      <x:c r="B1" s="7" t="str">
        <x:v>Data</x:v>
      </x:c>
      <x:c r="C1" s="7" t="str">
        <x:v>ID_Cliente</x:v>
      </x:c>
      <x:c r="D1" s="7" t="str">
        <x:v>ID_Produto</x:v>
      </x:c>
      <x:c r="E1" s="7" t="str">
        <x:v>ID_Vendedor</x:v>
      </x:c>
      <x:c r="F1" s="7" t="str">
        <x:v>Qtd</x:v>
      </x:c>
      <x:c r="G1" s="7" t="str">
        <x:v>Desconto</x:v>
      </x:c>
      <x:c r="H1" s="7" t="str">
        <x:v>Status</x:v>
      </x:c>
      <x:c r="I1" s="7" t="str">
        <x:v>Valor_Total</x:v>
      </x:c>
    </x:row>
    <x:row r="2">
      <x:c r="A2" t="str">
        <x:v>PED-1001</x:v>
      </x:c>
      <x:c r="B2" s="16" t="n">
        <x:v>46266</x:v>
      </x:c>
      <x:c r="C2" t="str">
        <x:v>C001</x:v>
      </x:c>
      <x:c r="D2" t="str">
        <x:v>P001</x:v>
      </x:c>
      <x:c r="E2" t="str">
        <x:v>V001</x:v>
      </x:c>
      <x:c r="F2" t="n">
        <x:v>2</x:v>
      </x:c>
      <x:c r="G2" s="18" t="n">
        <x:v>0.05</x:v>
      </x:c>
      <x:c r="H2" t="str">
        <x:v>Entregue</x:v>
      </x:c>
      <x:c r="I2" s="12" t="n">
        <x:f>IF(H2="Cancelado",0,F2*VLOOKUP(D2,Produtos!A:F,6,FALSE)*(1-G2))</x:f>
        <x:v>8169.809999999999</x:v>
      </x:c>
    </x:row>
    <x:row r="3">
      <x:c r="A3" t="str">
        <x:v>PED-1002</x:v>
      </x:c>
      <x:c r="B3" s="16" t="n">
        <x:v>46267</x:v>
      </x:c>
      <x:c r="C3" t="str">
        <x:v>C002</x:v>
      </x:c>
      <x:c r="D3" t="str">
        <x:v>P002</x:v>
      </x:c>
      <x:c r="E3" t="str">
        <x:v>V002</x:v>
      </x:c>
      <x:c r="F3" t="n">
        <x:v>8</x:v>
      </x:c>
      <x:c r="G3" s="18" t="n">
        <x:v>0</x:v>
      </x:c>
      <x:c r="H3" t="str">
        <x:v>Entregue</x:v>
      </x:c>
      <x:c r="I3" s="12" t="n">
        <x:f>IF(H3="Cancelado",0,F3*VLOOKUP(D3,Produtos!A:F,6,FALSE)*(1-G3))</x:f>
        <x:v>959.2</x:v>
      </x:c>
    </x:row>
    <x:row r="4">
      <x:c r="A4" t="str">
        <x:v>PED-1003</x:v>
      </x:c>
      <x:c r="B4" s="16" t="n">
        <x:v>46268</x:v>
      </x:c>
      <x:c r="C4" t="str">
        <x:v>C003</x:v>
      </x:c>
      <x:c r="D4" t="str">
        <x:v>P003</x:v>
      </x:c>
      <x:c r="E4" t="str">
        <x:v>V003</x:v>
      </x:c>
      <x:c r="F4" t="n">
        <x:v>3</x:v>
      </x:c>
      <x:c r="G4" s="18" t="n">
        <x:v>0.1</x:v>
      </x:c>
      <x:c r="H4" t="str">
        <x:v>Entregue</x:v>
      </x:c>
      <x:c r="I4" s="12" t="n">
        <x:f>IF(H4="Cancelado",0,F4*VLOOKUP(D4,Produtos!A:F,6,FALSE)*(1-G4))</x:f>
        <x:v>4317.3</x:v>
      </x:c>
    </x:row>
    <x:row r="5">
      <x:c r="A5" t="str">
        <x:v>PED-1004</x:v>
      </x:c>
      <x:c r="B5" s="16" t="n">
        <x:v>46269</x:v>
      </x:c>
      <x:c r="C5" t="str">
        <x:v>C004</x:v>
      </x:c>
      <x:c r="D5" t="str">
        <x:v>P004</x:v>
      </x:c>
      <x:c r="E5" t="str">
        <x:v>V001</x:v>
      </x:c>
      <x:c r="F5" t="n">
        <x:v>5</x:v>
      </x:c>
      <x:c r="G5" s="18" t="n">
        <x:v>0.05</x:v>
      </x:c>
      <x:c r="H5" t="str">
        <x:v>Cancelado</x:v>
      </x:c>
      <x:c r="I5" s="12" t="n">
        <x:f>IF(H5="Cancelado",0,F5*VLOOKUP(D5,Produtos!A:F,6,FALSE)*(1-G5))</x:f>
        <x:v>0</x:v>
      </x:c>
    </x:row>
    <x:row r="6">
      <x:c r="A6" t="str">
        <x:v>PED-1005</x:v>
      </x:c>
      <x:c r="B6" s="16" t="n">
        <x:v>46270</x:v>
      </x:c>
      <x:c r="C6" t="str">
        <x:v>C005</x:v>
      </x:c>
      <x:c r="D6" t="str">
        <x:v>P005</x:v>
      </x:c>
      <x:c r="E6" t="str">
        <x:v>V004</x:v>
      </x:c>
      <x:c r="F6" t="n">
        <x:v>4</x:v>
      </x:c>
      <x:c r="G6" s="18" t="n">
        <x:v>0.08</x:v>
      </x:c>
      <x:c r="H6" t="str">
        <x:v>Entregue</x:v>
      </x:c>
      <x:c r="I6" s="12" t="n">
        <x:f>IF(H6="Cancelado",0,F6*VLOOKUP(D6,Produtos!A:F,6,FALSE)*(1-G6))</x:f>
        <x:v>4747.2</x:v>
      </x:c>
    </x:row>
    <x:row r="7">
      <x:c r="A7" t="str">
        <x:v>PED-1006</x:v>
      </x:c>
      <x:c r="B7" s="16" t="n">
        <x:v>46272</x:v>
      </x:c>
      <x:c r="C7" t="str">
        <x:v>C002</x:v>
      </x:c>
      <x:c r="D7" t="str">
        <x:v>P001</x:v>
      </x:c>
      <x:c r="E7" t="str">
        <x:v>V002</x:v>
      </x:c>
      <x:c r="F7" t="n">
        <x:v>1</x:v>
      </x:c>
      <x:c r="G7" s="18" t="n">
        <x:v>0</x:v>
      </x:c>
      <x:c r="H7" t="str">
        <x:v>Pendente</x:v>
      </x:c>
      <x:c r="I7" s="12" t="n">
        <x:f>IF(H7="Cancelado",0,F7*VLOOKUP(D7,Produtos!A:F,6,FALSE)*(1-G7))</x:f>
        <x:v>4299.9</x:v>
      </x:c>
    </x:row>
    <x:row r="8">
      <x:c r="A8" t="str">
        <x:v>PED-1007</x:v>
      </x:c>
      <x:c r="B8" s="16" t="n">
        <x:v>46273</x:v>
      </x:c>
      <x:c r="C8" t="str">
        <x:v>C003</x:v>
      </x:c>
      <x:c r="D8" t="str">
        <x:v>P006</x:v>
      </x:c>
      <x:c r="E8" t="str">
        <x:v>V003</x:v>
      </x:c>
      <x:c r="F8" t="n">
        <x:v>6</x:v>
      </x:c>
      <x:c r="G8" s="18" t="n">
        <x:v>0.12</x:v>
      </x:c>
      <x:c r="H8" t="str">
        <x:v>Entregue</x:v>
      </x:c>
      <x:c r="I8" s="12" t="n">
        <x:f>IF(H8="Cancelado",0,F8*VLOOKUP(D8,Produtos!A:F,6,FALSE)*(1-G8))</x:f>
        <x:v>1847.4719999999998</x:v>
      </x:c>
    </x:row>
    <x:row r="9">
      <x:c r="A9" t="str">
        <x:v>PED-1008</x:v>
      </x:c>
      <x:c r="B9" s="16" t="n">
        <x:v>46275</x:v>
      </x:c>
      <x:c r="C9" t="str">
        <x:v>C007</x:v>
      </x:c>
      <x:c r="D9" t="str">
        <x:v>P007</x:v>
      </x:c>
      <x:c r="E9" t="str">
        <x:v>V004</x:v>
      </x:c>
      <x:c r="F9" t="n">
        <x:v>2</x:v>
      </x:c>
      <x:c r="G9" s="18" t="n">
        <x:v>0.05</x:v>
      </x:c>
      <x:c r="H9" t="str">
        <x:v>Entregue</x:v>
      </x:c>
      <x:c r="I9" s="12" t="n">
        <x:f>IF(H9="Cancelado",0,F9*VLOOKUP(D9,Produtos!A:F,6,FALSE)*(1-G9))</x:f>
        <x:v>3515</x:v>
      </x:c>
    </x:row>
    <x:row r="10">
      <x:c r="A10" t="str">
        <x:v>PED-1009</x:v>
      </x:c>
      <x:c r="B10" s="16" t="n">
        <x:v>46276</x:v>
      </x:c>
      <x:c r="C10" t="str">
        <x:v>C001</x:v>
      </x:c>
      <x:c r="D10" t="str">
        <x:v>P003</x:v>
      </x:c>
      <x:c r="E10" t="str">
        <x:v>V001</x:v>
      </x:c>
      <x:c r="F10" t="n">
        <x:v>2</x:v>
      </x:c>
      <x:c r="G10" s="18" t="n">
        <x:v>0</x:v>
      </x:c>
      <x:c r="H10" t="str">
        <x:v>Devolvido</x:v>
      </x:c>
      <x:c r="I10" s="12" t="n">
        <x:f>IF(H10="Cancelado",0,F10*VLOOKUP(D10,Produtos!A:F,6,FALSE)*(1-G10))</x:f>
        <x:v>3198</x:v>
      </x:c>
    </x:row>
    <x:row r="11">
      <x:c r="A11" t="str">
        <x:v>PED-1010</x:v>
      </x:c>
      <x:c r="B11" s="16" t="n">
        <x:v>46277</x:v>
      </x:c>
      <x:c r="C11" t="str">
        <x:v>C008</x:v>
      </x:c>
      <x:c r="D11" t="str">
        <x:v>P008</x:v>
      </x:c>
      <x:c r="E11" t="str">
        <x:v>V002</x:v>
      </x:c>
      <x:c r="F11" t="n">
        <x:v>10</x:v>
      </x:c>
      <x:c r="G11" s="18" t="n">
        <x:v>0.03</x:v>
      </x:c>
      <x:c r="H11" t="str">
        <x:v>Entregue</x:v>
      </x:c>
      <x:c r="I11" s="12" t="n">
        <x:f>IF(H11="Cancelado",0,F11*VLOOKUP(D11,Produtos!A:F,6,FALSE)*(1-G11))</x:f>
        <x:v>2424.0299999999997</x:v>
      </x:c>
    </x:row>
    <x:row r="12">
      <x:c r="A12" t="str">
        <x:v>PED-1011</x:v>
      </x:c>
      <x:c r="B12" s="16" t="n">
        <x:v>46280</x:v>
      </x:c>
      <x:c r="C12" t="str">
        <x:v>C005</x:v>
      </x:c>
      <x:c r="D12" t="str">
        <x:v>P002</x:v>
      </x:c>
      <x:c r="E12" t="str">
        <x:v>V005</x:v>
      </x:c>
      <x:c r="F12" t="n">
        <x:v>15</x:v>
      </x:c>
      <x:c r="G12" s="18" t="n">
        <x:v>0.07</x:v>
      </x:c>
      <x:c r="H12" t="str">
        <x:v>Entregue</x:v>
      </x:c>
      <x:c r="I12" s="12" t="n">
        <x:f>IF(H12="Cancelado",0,F12*VLOOKUP(D12,Produtos!A:F,6,FALSE)*(1-G12))</x:f>
        <x:v>1672.6049999999998</x:v>
      </x:c>
    </x:row>
    <x:row r="13">
      <x:c r="A13" t="str">
        <x:v>PED-1012</x:v>
      </x:c>
      <x:c r="B13" s="16" t="n">
        <x:v>46283</x:v>
      </x:c>
      <x:c r="C13" t="str">
        <x:v>C004</x:v>
      </x:c>
      <x:c r="D13" t="str">
        <x:v>P006</x:v>
      </x:c>
      <x:c r="E13" t="str">
        <x:v>V005</x:v>
      </x:c>
      <x:c r="F13" t="n">
        <x:v>4</x:v>
      </x:c>
      <x:c r="G13" s="18" t="n">
        <x:v>0</x:v>
      </x:c>
      <x:c r="H13" t="str">
        <x:v>Pendente</x:v>
      </x:c>
      <x:c r="I13" s="12" t="n">
        <x:f>IF(H13="Cancelado",0,F13*VLOOKUP(D13,Produtos!A:F,6,FALSE)*(1-G13))</x:f>
        <x:v>1399.6</x:v>
      </x:c>
    </x:row>
  </x:sheetData>
  <x:pageMargins left="0.7" right="0.7" top="0.75" bottom="0.75" header="0.3" footer="0.3"/>
  <x:tableParts count="1">
    <x:tablePart xmlns:r="http://schemas.openxmlformats.org/officeDocument/2006/relationships" r:id="R7af7ee8b7f6447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Indicador</x:v>
      </x:c>
      <x:c r="B1" s="7" t="str">
        <x:v>Valor</x:v>
      </x:c>
    </x:row>
    <x:row r="2">
      <x:c r="A2" t="str">
        <x:v>Receita total</x:v>
      </x:c>
      <x:c r="B2" s="12" t="n">
        <x:f>SUM(Pedidos!I2:I13)</x:f>
        <x:v>36550.117</x:v>
      </x:c>
    </x:row>
    <x:row r="3">
      <x:c r="A3" t="str">
        <x:v>Pedidos totais</x:v>
      </x:c>
      <x:c r="B3" s="12" t="n">
        <x:f>COUNTA(Pedidos!A2:A13)</x:f>
        <x:v>12</x:v>
      </x:c>
    </x:row>
    <x:row r="4">
      <x:c r="A4" t="str">
        <x:v>Pedidos entregues</x:v>
      </x:c>
      <x:c r="B4" s="12" t="n">
        <x:f>COUNTIF(Pedidos!H2:H13,"Entregue")</x:f>
        <x:v>8</x:v>
      </x:c>
    </x:row>
    <x:row r="5">
      <x:c r="A5" t="str">
        <x:v>Ticket médio</x:v>
      </x:c>
      <x:c r="B5" s="12" t="n">
        <x:f>B2/B3</x:f>
        <x:v>3045.843083333333</x:v>
      </x:c>
    </x:row>
    <x:row r="6">
      <x:c r="A6" t="str">
        <x:v>Clientes ativos</x:v>
      </x:c>
      <x:c r="B6" t="n">
        <x:f>COUNTIF(Clientes!F2:F9,TRUE)</x:f>
        <x:v>0</x:v>
      </x:c>
    </x:row>
    <x:row r="7">
      <x:c r="A7" t="str">
        <x:v>Produtos sem estoque</x:v>
      </x:c>
      <x:c r="B7" t="n">
        <x:f>COUNTIF(Produtos!G2:G9,0)</x:f>
        <x:v>1</x:v>
      </x:c>
    </x:row>
  </x:sheetData>
  <x:pageMargins left="0.7" right="0.7" top="0.75" bottom="0.75" header="0.3" footer="0.3"/>
</x:worksheet>
</file>