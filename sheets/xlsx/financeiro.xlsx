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d78a5ba14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camentos" sheetId="1" r:id="R228c92867b0d414e"/>
    <x:sheet xmlns:r="http://schemas.openxmlformats.org/officeDocument/2006/relationships" name="Resumo Mensal" sheetId="2" r:id="R27f1e029bdcb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c46ce59bb4118" /><Relationship Type="http://schemas.openxmlformats.org/officeDocument/2006/relationships/theme" Target="/xl/theme/theme1.xml" Id="R537d0ada125444e9" /><Relationship Type="http://schemas.microsoft.com/office/2022/11/relationships/FeaturePropertyBag" Target="/xl/featurePropertyBag/featurePropertyBag.xml" Id="R7a9f0bf683d74fd3" /><Relationship Type="http://schemas.openxmlformats.org/officeDocument/2006/relationships/sharedStrings" Target="/xl/sharedStrings.xml" Id="Ra1a50d84ac284675" /><Relationship Type="http://schemas.openxmlformats.org/officeDocument/2006/relationships/worksheet" Target="/xl/worksheets/sheet1.xml" Id="R228c92867b0d414e" /><Relationship Type="http://schemas.openxmlformats.org/officeDocument/2006/relationships/worksheet" Target="/xl/worksheets/sheet2.xml" Id="R27f1e029bdcb4d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ancamentosTable" displayName="LancamentosTable" ref="A1:H11" headerRowCount="1" totalsRowCount="0" totalsRowShown="0">
  <x:tableColumns count="8">
    <x:tableColumn id="1" name="Data"/>
    <x:tableColumn id="2" name="Tipo"/>
    <x:tableColumn id="3" name="Categoria"/>
    <x:tableColumn id="4" name="Descrição"/>
    <x:tableColumn id="5" name="Conta"/>
    <x:tableColumn id="6" name="Valor"/>
    <x:tableColumn id="7" name="Pago?"/>
    <x:tableColumn id="8" name="Compet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ae55b41001402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4" hidden="0" customWidth="1"/>
    <x:col min="5" max="5" width="17" hidden="0" customWidth="1"/>
    <x:col min="6" max="6" width="14" hidden="0" customWidth="1"/>
    <x:col min="7" max="7" width="10" hidden="0" customWidth="1"/>
    <x:col min="8" max="8" width="13" hidden="0" customWidth="1"/>
  </x:cols>
  <x:sheetData>
    <x:row r="1">
      <x:c r="A1" s="16" t="str">
        <x:v>Data</x:v>
      </x:c>
      <x:c r="B1" s="16" t="str">
        <x:v>Tipo</x:v>
      </x:c>
      <x:c r="C1" s="16" t="str">
        <x:v>Categoria</x:v>
      </x:c>
      <x:c r="D1" s="16" t="str">
        <x:v>Descrição</x:v>
      </x:c>
      <x:c r="E1" s="16" t="str">
        <x:v>Conta</x:v>
      </x:c>
      <x:c r="F1" s="16" t="str">
        <x:v>Valor</x:v>
      </x:c>
      <x:c r="G1" s="16" t="str">
        <x:v>Pago?</x:v>
      </x:c>
      <x:c r="H1" s="16" t="str">
        <x:v>Competência</x:v>
      </x:c>
    </x:row>
    <x:row r="2">
      <x:c r="A2" s="17" t="n">
        <x:v>46266</x:v>
      </x:c>
      <x:c r="B2" s="18" t="str">
        <x:v>Receita</x:v>
      </x:c>
      <x:c r="C2" s="18" t="str">
        <x:v>Salário</x:v>
      </x:c>
      <x:c r="D2" s="18" t="str">
        <x:v>Salário setembro</x:v>
      </x:c>
      <x:c r="E2" s="18" t="str">
        <x:v>Conta Corrente</x:v>
      </x:c>
      <x:c r="F2" s="19" t="n">
        <x:v>5200</x:v>
      </x:c>
      <x:c r="G2" s="20" t="b">
        <x:v>1</x:v>
      </x:c>
      <x:c r="H2" s="18" t="str">
        <x:v>2026-09</x:v>
      </x:c>
    </x:row>
    <x:row r="3">
      <x:c r="A3" s="17" t="n">
        <x:v>46267</x:v>
      </x:c>
      <x:c r="B3" s="18" t="str">
        <x:v>Despesa</x:v>
      </x:c>
      <x:c r="C3" s="18" t="str">
        <x:v>Casa &amp; utilidades</x:v>
      </x:c>
      <x:c r="D3" s="18" t="str">
        <x:v>Aluguel</x:v>
      </x:c>
      <x:c r="E3" s="18" t="str">
        <x:v>Conta Corrente</x:v>
      </x:c>
      <x:c r="F3" s="19" t="n">
        <x:v>1450</x:v>
      </x:c>
      <x:c r="G3" s="20" t="b">
        <x:v>1</x:v>
      </x:c>
      <x:c r="H3" s="18" t="str">
        <x:v>2026-09</x:v>
      </x:c>
    </x:row>
    <x:row r="4">
      <x:c r="A4" s="17" t="n">
        <x:v>46268</x:v>
      </x:c>
      <x:c r="B4" s="18" t="str">
        <x:v>Despesa</x:v>
      </x:c>
      <x:c r="C4" s="18" t="str">
        <x:v>Alimentação</x:v>
      </x:c>
      <x:c r="D4" s="18" t="str">
        <x:v>Supermercado</x:v>
      </x:c>
      <x:c r="E4" s="18" t="str">
        <x:v>Cartão</x:v>
      </x:c>
      <x:c r="F4" s="19" t="n">
        <x:v>428.35</x:v>
      </x:c>
      <x:c r="G4" s="20" t="b">
        <x:v>1</x:v>
      </x:c>
      <x:c r="H4" s="18" t="str">
        <x:v>2026-09</x:v>
      </x:c>
    </x:row>
    <x:row r="5">
      <x:c r="A5" s="17" t="n">
        <x:v>46270</x:v>
      </x:c>
      <x:c r="B5" s="18" t="str">
        <x:v>Despesa</x:v>
      </x:c>
      <x:c r="C5" s="18" t="str">
        <x:v>Transporte</x:v>
      </x:c>
      <x:c r="D5" s="18" t="str">
        <x:v>Uber</x:v>
      </x:c>
      <x:c r="E5" s="18" t="str">
        <x:v>Cartão</x:v>
      </x:c>
      <x:c r="F5" s="19" t="n">
        <x:v>32.8</x:v>
      </x:c>
      <x:c r="G5" s="20" t="b">
        <x:v>1</x:v>
      </x:c>
      <x:c r="H5" s="18" t="str">
        <x:v>2026-09</x:v>
      </x:c>
    </x:row>
    <x:row r="6">
      <x:c r="A6" s="17" t="n">
        <x:v>46272</x:v>
      </x:c>
      <x:c r="B6" s="18" t="str">
        <x:v>Despesa</x:v>
      </x:c>
      <x:c r="C6" s="18" t="str">
        <x:v>Tecnologia &amp; projetos</x:v>
      </x:c>
      <x:c r="D6" s="18" t="str">
        <x:v>OpenRouter</x:v>
      </x:c>
      <x:c r="E6" s="18" t="str">
        <x:v>Cartão</x:v>
      </x:c>
      <x:c r="F6" s="19" t="n">
        <x:v>78.4</x:v>
      </x:c>
      <x:c r="G6" s="20" t="b">
        <x:v>1</x:v>
      </x:c>
      <x:c r="H6" s="18" t="str">
        <x:v>2026-09</x:v>
      </x:c>
    </x:row>
    <x:row r="7">
      <x:c r="A7" s="17" t="n">
        <x:v>46275</x:v>
      </x:c>
      <x:c r="B7" s="18" t="str">
        <x:v>Receita</x:v>
      </x:c>
      <x:c r="C7" s="18" t="str">
        <x:v>Renda extra</x:v>
      </x:c>
      <x:c r="D7" s="18" t="str">
        <x:v>Freela dashboard</x:v>
      </x:c>
      <x:c r="E7" s="18" t="str">
        <x:v>Conta Corrente</x:v>
      </x:c>
      <x:c r="F7" s="19" t="n">
        <x:v>850</x:v>
      </x:c>
      <x:c r="G7" s="20" t="b">
        <x:v>1</x:v>
      </x:c>
      <x:c r="H7" s="18" t="str">
        <x:v>2026-09</x:v>
      </x:c>
    </x:row>
    <x:row r="8">
      <x:c r="A8" s="17" t="n">
        <x:v>46277</x:v>
      </x:c>
      <x:c r="B8" s="18" t="str">
        <x:v>Despesa</x:v>
      </x:c>
      <x:c r="C8" s="18" t="str">
        <x:v>Estudos &amp; carreira</x:v>
      </x:c>
      <x:c r="D8" s="18" t="str">
        <x:v>Curso online</x:v>
      </x:c>
      <x:c r="E8" s="18" t="str">
        <x:v>Cartão</x:v>
      </x:c>
      <x:c r="F8" s="19" t="n">
        <x:v>129.9</x:v>
      </x:c>
      <x:c r="G8" s="20" t="b">
        <x:v>1</x:v>
      </x:c>
      <x:c r="H8" s="18" t="str">
        <x:v>2026-09</x:v>
      </x:c>
    </x:row>
    <x:row r="9">
      <x:c r="A9" s="17" t="n">
        <x:v>46280</x:v>
      </x:c>
      <x:c r="B9" s="18" t="str">
        <x:v>Despesa</x:v>
      </x:c>
      <x:c r="C9" s="18" t="str">
        <x:v>Lazer</x:v>
      </x:c>
      <x:c r="D9" s="18" t="str">
        <x:v>Cinema</x:v>
      </x:c>
      <x:c r="E9" s="18" t="str">
        <x:v>Cartão</x:v>
      </x:c>
      <x:c r="F9" s="19" t="n">
        <x:v>46</x:v>
      </x:c>
      <x:c r="G9" s="20" t="b">
        <x:v>1</x:v>
      </x:c>
      <x:c r="H9" s="18" t="str">
        <x:v>2026-09</x:v>
      </x:c>
    </x:row>
    <x:row r="10">
      <x:c r="A10" s="17" t="n">
        <x:v>46285</x:v>
      </x:c>
      <x:c r="B10" s="18" t="str">
        <x:v>Despesa</x:v>
      </x:c>
      <x:c r="C10" s="18" t="str">
        <x:v>Alimentação</x:v>
      </x:c>
      <x:c r="D10" s="18" t="str">
        <x:v>Restaurante</x:v>
      </x:c>
      <x:c r="E10" s="18" t="str">
        <x:v>PIX</x:v>
      </x:c>
      <x:c r="F10" s="19" t="n">
        <x:v>72.5</x:v>
      </x:c>
      <x:c r="G10" s="20" t="b">
        <x:v>1</x:v>
      </x:c>
      <x:c r="H10" s="18" t="str">
        <x:v>2026-09</x:v>
      </x:c>
    </x:row>
    <x:row r="11">
      <x:c r="A11" s="17" t="n">
        <x:v>46291</x:v>
      </x:c>
      <x:c r="B11" s="18" t="str">
        <x:v>Despesa</x:v>
      </x:c>
      <x:c r="C11" s="18" t="str">
        <x:v>Casa &amp; utilidades</x:v>
      </x:c>
      <x:c r="D11" s="18" t="str">
        <x:v>Energia</x:v>
      </x:c>
      <x:c r="E11" s="18" t="str">
        <x:v>Conta Corrente</x:v>
      </x:c>
      <x:c r="F11" s="19" t="n">
        <x:v>238.7</x:v>
      </x:c>
      <x:c r="G11" s="20" t="b">
        <x:v>0</x:v>
      </x:c>
      <x:c r="H11" s="18" t="str">
        <x:v>2026-09</x:v>
      </x:c>
    </x:row>
  </x:sheetData>
  <x:dataValidations count="1">
    <x:dataValidation type="list" sqref="B2:B11">
      <x:formula1>"Receita,Despesa"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ae55b4100140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7" t="str">
        <x:v>Indicador</x:v>
      </x:c>
      <x:c r="B1" s="7" t="str">
        <x:v>Setembro/2026</x:v>
      </x:c>
    </x:row>
    <x:row r="2">
      <x:c r="A2" t="str">
        <x:v>Receitas</x:v>
      </x:c>
      <x:c r="B2" s="14" t="n">
        <x:f>SUMIF(Lancamentos!B2:B11,"Receita",Lancamentos!F2:F11)</x:f>
        <x:v>6050</x:v>
      </x:c>
    </x:row>
    <x:row r="3">
      <x:c r="A3" t="str">
        <x:v>Despesas</x:v>
      </x:c>
      <x:c r="B3" s="14" t="n">
        <x:f>SUMIF(Lancamentos!B2:B11,"Despesa",Lancamentos!F2:F11)</x:f>
        <x:v>2476.6499999999996</x:v>
      </x:c>
    </x:row>
    <x:row r="4">
      <x:c r="A4" t="str">
        <x:v>Saldo</x:v>
      </x:c>
      <x:c r="B4" s="14" t="n">
        <x:f>B2-B3</x:f>
        <x:v>3573.3500000000004</x:v>
      </x:c>
    </x:row>
    <x:row r="5">
      <x:c r="A5" t="str">
        <x:v>Despesas pagas</x:v>
      </x:c>
      <x:c r="B5" s="14" t="n">
        <x:f>SUMIFS(Lancamentos!F2:F11,Lancamentos!B2:B11,"Despesa",Lancamentos!G2:G11,TRUE)</x:f>
        <x:v>0</x:v>
      </x:c>
    </x:row>
    <x:row r="6">
      <x:c r="A6" t="str">
        <x:v>Despesas pendentes</x:v>
      </x:c>
      <x:c r="B6" s="14" t="n">
        <x:f>SUMIFS(Lancamentos!F2:F11,Lancamentos!B2:B11,"Despesa",Lancamentos!G2:G11,FALSE)</x:f>
        <x:v>0</x:v>
      </x:c>
    </x:row>
    <x:row r="7">
      <x:c r="A7" t="str">
        <x:v>% renda comprometida</x:v>
      </x:c>
      <x:c r="B7" s="26" t="n">
        <x:f>B3/B2</x:f>
        <x:v>0.4093636363636363</x:v>
      </x:c>
    </x:row>
  </x:sheetData>
  <x:pageMargins left="0.7" right="0.7" top="0.75" bottom="0.75" header="0.3" footer="0.3"/>
</x:worksheet>
</file>