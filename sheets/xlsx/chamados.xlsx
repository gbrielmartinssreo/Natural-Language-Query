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cfbf45c39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mados" sheetId="1" r:id="Rc984e29baa80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bd290a88243bd" /><Relationship Type="http://schemas.openxmlformats.org/officeDocument/2006/relationships/theme" Target="/xl/theme/theme1.xml" Id="Rf9d36360ec4f48dd" /><Relationship Type="http://schemas.openxmlformats.org/officeDocument/2006/relationships/sharedStrings" Target="/xl/sharedStrings.xml" Id="R869928a0614b4016" /><Relationship Type="http://schemas.openxmlformats.org/officeDocument/2006/relationships/worksheet" Target="/xl/worksheets/sheet1.xml" Id="Rc984e29baa804dd3" /></Relationships>
</file>

<file path=xl/tables/table1.xml><?xml version="1.0" encoding="utf-8"?>
<x:table xmlns:x="http://schemas.openxmlformats.org/spreadsheetml/2006/main" id="1" name="ChamadosTable" displayName="ChamadosTable" ref="A1:L9" headerRowCount="1" totalsRowCount="0" totalsRowShown="0">
  <x:tableColumns count="12">
    <x:tableColumn id="1" name="Chamado"/>
    <x:tableColumn id="2" name="Abertura"/>
    <x:tableColumn id="3" name="Solicitante"/>
    <x:tableColumn id="4" name="Setor"/>
    <x:tableColumn id="5" name="Categoria"/>
    <x:tableColumn id="6" name="Prioridade"/>
    <x:tableColumn id="7" name="Responsável"/>
    <x:tableColumn id="8" name="Status"/>
    <x:tableColumn id="9" name="Horas"/>
    <x:tableColumn id="10" name="SLA (h)"/>
    <x:tableColumn id="11" name="Dentro SLA?"/>
    <x:tableColumn id="12" name="Descr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6a18b0ca924b0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2" hidden="0" customWidth="1"/>
    <x:col min="7" max="7" width="14" hidden="0" customWidth="1"/>
    <x:col min="8" max="8" width="15" hidden="0" customWidth="1"/>
    <x:col min="9" max="9" width="10" hidden="0" customWidth="1"/>
    <x:col min="10" max="10" width="10" hidden="0" customWidth="1"/>
    <x:col min="11" max="11" width="13" hidden="0" customWidth="1"/>
    <x:col min="12" max="12" width="34" hidden="0" customWidth="1"/>
  </x:cols>
  <x:sheetData>
    <x:row r="1">
      <x:c r="A1" s="12" t="str">
        <x:v>Chamado</x:v>
      </x:c>
      <x:c r="B1" s="12" t="str">
        <x:v>Abertura</x:v>
      </x:c>
      <x:c r="C1" s="12" t="str">
        <x:v>Solicitante</x:v>
      </x:c>
      <x:c r="D1" s="12" t="str">
        <x:v>Setor</x:v>
      </x:c>
      <x:c r="E1" s="12" t="str">
        <x:v>Categoria</x:v>
      </x:c>
      <x:c r="F1" s="12" t="str">
        <x:v>Prioridade</x:v>
      </x:c>
      <x:c r="G1" s="12" t="str">
        <x:v>Responsável</x:v>
      </x:c>
      <x:c r="H1" s="12" t="str">
        <x:v>Status</x:v>
      </x:c>
      <x:c r="I1" s="12" t="str">
        <x:v>Horas</x:v>
      </x:c>
      <x:c r="J1" s="12" t="str">
        <x:v>SLA (h)</x:v>
      </x:c>
      <x:c r="K1" s="12" t="str">
        <x:v>Dentro SLA?</x:v>
      </x:c>
      <x:c r="L1" s="12" t="str">
        <x:v>Descrição</x:v>
      </x:c>
    </x:row>
    <x:row r="2">
      <x:c r="A2" s="13" t="str">
        <x:v>INC-2001</x:v>
      </x:c>
      <x:c r="B2" s="14" t="n">
        <x:v>46296.34375</x:v>
      </x:c>
      <x:c r="C2" s="13" t="str">
        <x:v>Felipe</x:v>
      </x:c>
      <x:c r="D2" s="13" t="str">
        <x:v>Financeiro</x:v>
      </x:c>
      <x:c r="E2" s="13" t="str">
        <x:v>Acesso</x:v>
      </x:c>
      <x:c r="F2" s="13" t="str">
        <x:v>Alta</x:v>
      </x:c>
      <x:c r="G2" s="13" t="str">
        <x:v>Nina</x:v>
      </x:c>
      <x:c r="H2" s="13" t="str">
        <x:v>Resolvido</x:v>
      </x:c>
      <x:c r="I2" s="13" t="n">
        <x:v>2.3</x:v>
      </x:c>
      <x:c r="J2" s="13" t="n">
        <x:v>4</x:v>
      </x:c>
      <x:c r="K2" s="13" t="str">
        <x:f>IF(I2="","PENDENTE",IF(I2&lt;=J2,"SIM","NÃO"))</x:f>
        <x:v>SIM</x:v>
      </x:c>
      <x:c r="L2" s="13" t="str">
        <x:v>Usuário sem acesso ao ERP</x:v>
      </x:c>
    </x:row>
    <x:row r="3">
      <x:c r="A3" s="13" t="str">
        <x:v>INC-2002</x:v>
      </x:c>
      <x:c r="B3" s="14" t="n">
        <x:v>46296.40277777778</x:v>
      </x:c>
      <x:c r="C3" s="13" t="str">
        <x:v>Sara</x:v>
      </x:c>
      <x:c r="D3" s="13" t="str">
        <x:v>RH</x:v>
      </x:c>
      <x:c r="E3" s="13" t="str">
        <x:v>Impressora</x:v>
      </x:c>
      <x:c r="F3" s="13" t="str">
        <x:v>Média</x:v>
      </x:c>
      <x:c r="G3" s="13" t="str">
        <x:v>Otávio</x:v>
      </x:c>
      <x:c r="H3" s="13" t="str">
        <x:v>Resolvido</x:v>
      </x:c>
      <x:c r="I3" s="13" t="n">
        <x:v>5.5</x:v>
      </x:c>
      <x:c r="J3" s="13" t="n">
        <x:v>8</x:v>
      </x:c>
      <x:c r="K3" s="13" t="str">
        <x:f>IF(I3="","PENDENTE",IF(I3&lt;=J3,"SIM","NÃO"))</x:f>
        <x:v>SIM</x:v>
      </x:c>
      <x:c r="L3" s="13" t="str">
        <x:v>Fila de impressão travada</x:v>
      </x:c>
    </x:row>
    <x:row r="4">
      <x:c r="A4" s="13" t="str">
        <x:v>INC-2003</x:v>
      </x:c>
      <x:c r="B4" s="14" t="n">
        <x:v>46296.461805555555</x:v>
      </x:c>
      <x:c r="C4" s="13" t="str">
        <x:v>Mateus</x:v>
      </x:c>
      <x:c r="D4" s="13" t="str">
        <x:v>Operações</x:v>
      </x:c>
      <x:c r="E4" s="13" t="str">
        <x:v>Rede</x:v>
      </x:c>
      <x:c r="F4" s="13" t="str">
        <x:v>Crítica</x:v>
      </x:c>
      <x:c r="G4" s="13" t="str">
        <x:v>Nina</x:v>
      </x:c>
      <x:c r="H4" s="13" t="str">
        <x:v>Resolvido</x:v>
      </x:c>
      <x:c r="I4" s="13" t="n">
        <x:v>1.2</x:v>
      </x:c>
      <x:c r="J4" s="13" t="n">
        <x:v>2</x:v>
      </x:c>
      <x:c r="K4" s="13" t="str">
        <x:f>IF(I4="","PENDENTE",IF(I4&lt;=J4,"SIM","NÃO"))</x:f>
        <x:v>SIM</x:v>
      </x:c>
      <x:c r="L4" s="13" t="str">
        <x:v>Queda de conectividade no setor</x:v>
      </x:c>
    </x:row>
    <x:row r="5">
      <x:c r="A5" s="13" t="str">
        <x:v>INC-2004</x:v>
      </x:c>
      <x:c r="B5" s="14" t="n">
        <x:v>46297.368055555555</x:v>
      </x:c>
      <x:c r="C5" s="13" t="str">
        <x:v>Lívia</x:v>
      </x:c>
      <x:c r="D5" s="13" t="str">
        <x:v>Comercial</x:v>
      </x:c>
      <x:c r="E5" s="13" t="str">
        <x:v>Sistema</x:v>
      </x:c>
      <x:c r="F5" s="13" t="str">
        <x:v>Alta</x:v>
      </x:c>
      <x:c r="G5" s="13" t="str">
        <x:v>Paulo</x:v>
      </x:c>
      <x:c r="H5" s="13" t="str">
        <x:v>Em andamento</x:v>
      </x:c>
      <x:c r="I5" s="13" t="n">
        <x:v>7.5</x:v>
      </x:c>
      <x:c r="J5" s="13" t="n">
        <x:v>4</x:v>
      </x:c>
      <x:c r="K5" s="13" t="str">
        <x:f>IF(I5="","PENDENTE",IF(I5&lt;=J5,"SIM","NÃO"))</x:f>
        <x:v>NÃO</x:v>
      </x:c>
      <x:c r="L5" s="13" t="str">
        <x:v>Erro ao emitir relatório</x:v>
      </x:c>
    </x:row>
    <x:row r="6">
      <x:c r="A6" s="13" t="str">
        <x:v>INC-2005</x:v>
      </x:c>
      <x:c r="B6" s="14" t="n">
        <x:v>46297.430555555555</x:v>
      </x:c>
      <x:c r="C6" s="13" t="str">
        <x:v>Ruan</x:v>
      </x:c>
      <x:c r="D6" s="13" t="str">
        <x:v>Financeiro</x:v>
      </x:c>
      <x:c r="E6" s="13" t="str">
        <x:v>Hardware</x:v>
      </x:c>
      <x:c r="F6" s="13" t="str">
        <x:v>Baixa</x:v>
      </x:c>
      <x:c r="G6" s="13" t="str">
        <x:v>Otávio</x:v>
      </x:c>
      <x:c r="H6" s="13" t="str">
        <x:v>Aberto</x:v>
      </x:c>
      <x:c r="I6" s="13" t="n">
        <x:v>1</x:v>
      </x:c>
      <x:c r="J6" s="13" t="n">
        <x:v>24</x:v>
      </x:c>
      <x:c r="K6" s="13" t="str">
        <x:f>IF(I6="","PENDENTE",IF(I6&lt;=J6,"SIM","NÃO"))</x:f>
        <x:v>SIM</x:v>
      </x:c>
      <x:c r="L6" s="13" t="str">
        <x:v>Mouse com clique duplo</x:v>
      </x:c>
    </x:row>
    <x:row r="7">
      <x:c r="A7" s="13" t="str">
        <x:v>INC-2006</x:v>
      </x:c>
      <x:c r="B7" s="14" t="n">
        <x:v>46297.5625</x:v>
      </x:c>
      <x:c r="C7" s="13" t="str">
        <x:v>Mara</x:v>
      </x:c>
      <x:c r="D7" s="13" t="str">
        <x:v>RH</x:v>
      </x:c>
      <x:c r="E7" s="13" t="str">
        <x:v>Acesso</x:v>
      </x:c>
      <x:c r="F7" s="13" t="str">
        <x:v>Média</x:v>
      </x:c>
      <x:c r="G7" s="13" t="str">
        <x:v>Nina</x:v>
      </x:c>
      <x:c r="H7" s="13" t="str">
        <x:v>Resolvido</x:v>
      </x:c>
      <x:c r="I7" s="13" t="n">
        <x:v>3</x:v>
      </x:c>
      <x:c r="J7" s="13" t="n">
        <x:v>8</x:v>
      </x:c>
      <x:c r="K7" s="13" t="str">
        <x:f>IF(I7="","PENDENTE",IF(I7&lt;=J7,"SIM","NÃO"))</x:f>
        <x:v>SIM</x:v>
      </x:c>
      <x:c r="L7" s="13" t="str">
        <x:v>Permissão em pasta compartilhada</x:v>
      </x:c>
    </x:row>
    <x:row r="8">
      <x:c r="A8" s="13" t="str">
        <x:v>INC-2007</x:v>
      </x:c>
      <x:c r="B8" s="14" t="n">
        <x:v>46298.381944444445</x:v>
      </x:c>
      <x:c r="C8" s="13" t="str">
        <x:v>César</x:v>
      </x:c>
      <x:c r="D8" s="13" t="str">
        <x:v>Operações</x:v>
      </x:c>
      <x:c r="E8" s="13" t="str">
        <x:v>Sistema</x:v>
      </x:c>
      <x:c r="F8" s="13" t="str">
        <x:v>Alta</x:v>
      </x:c>
      <x:c r="G8" s="13" t="str">
        <x:v>Paulo</x:v>
      </x:c>
      <x:c r="H8" s="13" t="str">
        <x:v>Resolvido</x:v>
      </x:c>
      <x:c r="I8" s="13" t="n">
        <x:v>3.9</x:v>
      </x:c>
      <x:c r="J8" s="13" t="n">
        <x:v>4</x:v>
      </x:c>
      <x:c r="K8" s="13" t="str">
        <x:f>IF(I8="","PENDENTE",IF(I8&lt;=J8,"SIM","NÃO"))</x:f>
        <x:v>SIM</x:v>
      </x:c>
      <x:c r="L8" s="13" t="str">
        <x:v>Integração não atualizou dados</x:v>
      </x:c>
    </x:row>
    <x:row r="9">
      <x:c r="A9" s="13" t="str">
        <x:v>INC-2008</x:v>
      </x:c>
      <x:c r="B9" s="14" t="n">
        <x:v>46298.583333333336</x:v>
      </x:c>
      <x:c r="C9" s="13" t="str">
        <x:v>Dani</x:v>
      </x:c>
      <x:c r="D9" s="13" t="str">
        <x:v>Comercial</x:v>
      </x:c>
      <x:c r="E9" s="13" t="str">
        <x:v>Rede</x:v>
      </x:c>
      <x:c r="F9" s="13" t="str">
        <x:v>Média</x:v>
      </x:c>
      <x:c r="G9" s="13"/>
      <x:c r="H9" s="13" t="str">
        <x:v>Aberto</x:v>
      </x:c>
      <x:c r="I9" s="13"/>
      <x:c r="J9" s="13" t="n">
        <x:v>8</x:v>
      </x:c>
      <x:c r="K9" s="13" t="str">
        <x:f>IF(I9="","PENDENTE",IF(I9&lt;=J9,"SIM","NÃO"))</x:f>
        <x:v>PENDENTE</x:v>
      </x:c>
      <x:c r="L9" s="13" t="str">
        <x:v>Wi-Fi instável na sala de reunião</x:v>
      </x:c>
    </x:row>
  </x:sheetData>
  <x:conditionalFormatting sqref="K2:K9">
    <x:cfRule type="expression" dxfId="0" priority="1">
      <x:formula>K2="NÃO"</x:formula>
    </x:cfRule>
  </x:conditionalFormatting>
  <x:dataValidations count="2">
    <x:dataValidation type="list" sqref="F2:F9">
      <x:formula1>"Baixa,Média,Alta,Crítica"</x:formula1>
    </x:dataValidation>
    <x:dataValidation type="list" sqref="H2:H9">
      <x:formula1>"Aberto,Em andamento,Resolvido"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6a18b0ca924b0e"/>
  </x:tableParts>
</x:worksheet>
</file>