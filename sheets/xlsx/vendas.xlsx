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727b8445dc41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" sheetId="1" r:id="Rb778124ca33f4623"/>
    <x:sheet xmlns:r="http://schemas.openxmlformats.org/officeDocument/2006/relationships" name="Resumo" sheetId="2" r:id="R8fb10460eb3943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R$ #,##0.00"/>
    <x:numFmt numFmtId="202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14c3d239544e65" /><Relationship Type="http://schemas.openxmlformats.org/officeDocument/2006/relationships/theme" Target="/xl/theme/theme1.xml" Id="R5065b6c27a854193" /><Relationship Type="http://schemas.openxmlformats.org/officeDocument/2006/relationships/sharedStrings" Target="/xl/sharedStrings.xml" Id="Rd8d6819c81e3425d" /><Relationship Type="http://schemas.openxmlformats.org/officeDocument/2006/relationships/worksheet" Target="/xl/worksheets/sheet1.xml" Id="Rb778124ca33f4623" /><Relationship Type="http://schemas.openxmlformats.org/officeDocument/2006/relationships/worksheet" Target="/xl/worksheets/sheet2.xml" Id="R8fb10460eb394385" /></Relationships>
</file>

<file path=xl/tables/table1.xml><?xml version="1.0" encoding="utf-8"?>
<x:table xmlns:x="http://schemas.openxmlformats.org/spreadsheetml/2006/main" id="1" name="VendasTable" displayName="VendasTable" ref="A1:K11" headerRowCount="1" totalsRowCount="0" totalsRowShown="0">
  <x:tableColumns count="11">
    <x:tableColumn id="1" name="Data"/>
    <x:tableColumn id="2" name="Pedido"/>
    <x:tableColumn id="3" name="Vendedor"/>
    <x:tableColumn id="4" name="Região"/>
    <x:tableColumn id="5" name="Produto"/>
    <x:tableColumn id="6" name="Categoria"/>
    <x:tableColumn id="7" name="Qtd"/>
    <x:tableColumn id="8" name="Preço Unit."/>
    <x:tableColumn id="9" name="Desconto"/>
    <x:tableColumn id="10" name="Receita Líquida"/>
    <x:tableColumn id="11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ddd1eb12634c15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16" hidden="0" customWidth="1"/>
    <x:col min="5" max="5" width="22" hidden="0" customWidth="1"/>
    <x:col min="6" max="6" width="16" hidden="0" customWidth="1"/>
    <x:col min="7" max="7" width="9" hidden="0" customWidth="1"/>
    <x:col min="8" max="8" width="15" hidden="0" customWidth="1"/>
    <x:col min="9" max="9" width="15" hidden="0" customWidth="1"/>
    <x:col min="10" max="10" width="15" hidden="0" customWidth="1"/>
    <x:col min="11" max="11" width="13" hidden="0" customWidth="1"/>
  </x:cols>
  <x:sheetData>
    <x:row r="1">
      <x:c r="A1" s="16" t="str">
        <x:v>Data</x:v>
      </x:c>
      <x:c r="B1" s="16" t="str">
        <x:v>Pedido</x:v>
      </x:c>
      <x:c r="C1" s="16" t="str">
        <x:v>Vendedor</x:v>
      </x:c>
      <x:c r="D1" s="16" t="str">
        <x:v>Região</x:v>
      </x:c>
      <x:c r="E1" s="16" t="str">
        <x:v>Produto</x:v>
      </x:c>
      <x:c r="F1" s="16" t="str">
        <x:v>Categoria</x:v>
      </x:c>
      <x:c r="G1" s="16" t="str">
        <x:v>Qtd</x:v>
      </x:c>
      <x:c r="H1" s="16" t="str">
        <x:v>Preço Unit.</x:v>
      </x:c>
      <x:c r="I1" s="16" t="str">
        <x:v>Desconto</x:v>
      </x:c>
      <x:c r="J1" s="16" t="str">
        <x:v>Receita Líquida</x:v>
      </x:c>
      <x:c r="K1" s="16" t="str">
        <x:v>Status</x:v>
      </x:c>
    </x:row>
    <x:row r="2">
      <x:c r="A2" s="17" t="n">
        <x:v>46266</x:v>
      </x:c>
      <x:c r="B2" s="18" t="str">
        <x:v>PED-1001</x:v>
      </x:c>
      <x:c r="C2" s="18" t="str">
        <x:v>Ana</x:v>
      </x:c>
      <x:c r="D2" s="18" t="str">
        <x:v>Centro-Oeste</x:v>
      </x:c>
      <x:c r="E2" s="18" t="str">
        <x:v>Notebook Orion 14</x:v>
      </x:c>
      <x:c r="F2" s="18" t="str">
        <x:v>Eletrônicos</x:v>
      </x:c>
      <x:c r="G2" s="18" t="n">
        <x:v>2</x:v>
      </x:c>
      <x:c r="H2" s="19" t="n">
        <x:v>4299.9</x:v>
      </x:c>
      <x:c r="I2" s="20" t="n">
        <x:v>0.05</x:v>
      </x:c>
      <x:c r="J2" s="19" t="n">
        <x:f>IF(K2="Cancelado",0,G2*H2*(1-I2))</x:f>
        <x:v>8169.809999999999</x:v>
      </x:c>
      <x:c r="K2" s="18" t="str">
        <x:v>Entregue</x:v>
      </x:c>
    </x:row>
    <x:row r="3">
      <x:c r="A3" s="17" t="n">
        <x:v>46267</x:v>
      </x:c>
      <x:c r="B3" s="18" t="str">
        <x:v>PED-1002</x:v>
      </x:c>
      <x:c r="C3" s="18" t="str">
        <x:v>Bruno</x:v>
      </x:c>
      <x:c r="D3" s="18" t="str">
        <x:v>Sudeste</x:v>
      </x:c>
      <x:c r="E3" s="18" t="str">
        <x:v>Mouse Vector</x:v>
      </x:c>
      <x:c r="F3" s="18" t="str">
        <x:v>Acessórios</x:v>
      </x:c>
      <x:c r="G3" s="18" t="n">
        <x:v>8</x:v>
      </x:c>
      <x:c r="H3" s="19" t="n">
        <x:v>119.9</x:v>
      </x:c>
      <x:c r="I3" s="20" t="n">
        <x:v>0</x:v>
      </x:c>
      <x:c r="J3" s="19" t="n">
        <x:f>IF(K3="Cancelado",0,G3*H3*(1-I3))</x:f>
        <x:v>959.2</x:v>
      </x:c>
      <x:c r="K3" s="18" t="str">
        <x:v>Entregue</x:v>
      </x:c>
    </x:row>
    <x:row r="4">
      <x:c r="A4" s="17" t="n">
        <x:v>46268</x:v>
      </x:c>
      <x:c r="B4" s="18" t="str">
        <x:v>PED-1003</x:v>
      </x:c>
      <x:c r="C4" s="18" t="str">
        <x:v>Carla</x:v>
      </x:c>
      <x:c r="D4" s="18" t="str">
        <x:v>Sul</x:v>
      </x:c>
      <x:c r="E4" s="18" t="str">
        <x:v>Monitor Apex 27</x:v>
      </x:c>
      <x:c r="F4" s="18" t="str">
        <x:v>Eletrônicos</x:v>
      </x:c>
      <x:c r="G4" s="18" t="n">
        <x:v>3</x:v>
      </x:c>
      <x:c r="H4" s="19" t="n">
        <x:v>1599</x:v>
      </x:c>
      <x:c r="I4" s="20" t="n">
        <x:v>0.1</x:v>
      </x:c>
      <x:c r="J4" s="19" t="n">
        <x:f>IF(K4="Cancelado",0,G4*H4*(1-I4))</x:f>
        <x:v>4317.3</x:v>
      </x:c>
      <x:c r="K4" s="18" t="str">
        <x:v>Entregue</x:v>
      </x:c>
    </x:row>
    <x:row r="5">
      <x:c r="A5" s="17" t="n">
        <x:v>46269</x:v>
      </x:c>
      <x:c r="B5" s="18" t="str">
        <x:v>PED-1004</x:v>
      </x:c>
      <x:c r="C5" s="18" t="str">
        <x:v>Ana</x:v>
      </x:c>
      <x:c r="D5" s="18" t="str">
        <x:v>Centro-Oeste</x:v>
      </x:c>
      <x:c r="E5" s="18" t="str">
        <x:v>Teclado Nova</x:v>
      </x:c>
      <x:c r="F5" s="18" t="str">
        <x:v>Acessórios</x:v>
      </x:c>
      <x:c r="G5" s="18" t="n">
        <x:v>5</x:v>
      </x:c>
      <x:c r="H5" s="19" t="n">
        <x:v>289.9</x:v>
      </x:c>
      <x:c r="I5" s="20" t="n">
        <x:v>0.05</x:v>
      </x:c>
      <x:c r="J5" s="19" t="n">
        <x:f>IF(K5="Cancelado",0,G5*H5*(1-I5))</x:f>
        <x:v>0</x:v>
      </x:c>
      <x:c r="K5" s="18" t="str">
        <x:v>Cancelado</x:v>
      </x:c>
    </x:row>
    <x:row r="6">
      <x:c r="A6" s="17" t="n">
        <x:v>46270</x:v>
      </x:c>
      <x:c r="B6" s="18" t="str">
        <x:v>PED-1005</x:v>
      </x:c>
      <x:c r="C6" s="18" t="str">
        <x:v>Diego</x:v>
      </x:c>
      <x:c r="D6" s="18" t="str">
        <x:v>Nordeste</x:v>
      </x:c>
      <x:c r="E6" s="18" t="str">
        <x:v>Cadeira Flux</x:v>
      </x:c>
      <x:c r="F6" s="18" t="str">
        <x:v>Móveis</x:v>
      </x:c>
      <x:c r="G6" s="18" t="n">
        <x:v>4</x:v>
      </x:c>
      <x:c r="H6" s="19" t="n">
        <x:v>1290</x:v>
      </x:c>
      <x:c r="I6" s="20" t="n">
        <x:v>0.08</x:v>
      </x:c>
      <x:c r="J6" s="19" t="n">
        <x:f>IF(K6="Cancelado",0,G6*H6*(1-I6))</x:f>
        <x:v>4747.2</x:v>
      </x:c>
      <x:c r="K6" s="18" t="str">
        <x:v>Entregue</x:v>
      </x:c>
    </x:row>
    <x:row r="7">
      <x:c r="A7" s="17" t="n">
        <x:v>46272</x:v>
      </x:c>
      <x:c r="B7" s="18" t="str">
        <x:v>PED-1006</x:v>
      </x:c>
      <x:c r="C7" s="18" t="str">
        <x:v>Bruno</x:v>
      </x:c>
      <x:c r="D7" s="18" t="str">
        <x:v>Sudeste</x:v>
      </x:c>
      <x:c r="E7" s="18" t="str">
        <x:v>Notebook Orion 14</x:v>
      </x:c>
      <x:c r="F7" s="18" t="str">
        <x:v>Eletrônicos</x:v>
      </x:c>
      <x:c r="G7" s="18" t="n">
        <x:v>1</x:v>
      </x:c>
      <x:c r="H7" s="19" t="n">
        <x:v>4299.9</x:v>
      </x:c>
      <x:c r="I7" s="20" t="n">
        <x:v>0</x:v>
      </x:c>
      <x:c r="J7" s="19" t="n">
        <x:f>IF(K7="Cancelado",0,G7*H7*(1-I7))</x:f>
        <x:v>4299.9</x:v>
      </x:c>
      <x:c r="K7" s="18" t="str">
        <x:v>Pendente</x:v>
      </x:c>
    </x:row>
    <x:row r="8">
      <x:c r="A8" s="17" t="n">
        <x:v>46273</x:v>
      </x:c>
      <x:c r="B8" s="18" t="str">
        <x:v>PED-1007</x:v>
      </x:c>
      <x:c r="C8" s="18" t="str">
        <x:v>Carla</x:v>
      </x:c>
      <x:c r="D8" s="18" t="str">
        <x:v>Sul</x:v>
      </x:c>
      <x:c r="E8" s="18" t="str">
        <x:v>Headset Pulse</x:v>
      </x:c>
      <x:c r="F8" s="18" t="str">
        <x:v>Acessórios</x:v>
      </x:c>
      <x:c r="G8" s="18" t="n">
        <x:v>6</x:v>
      </x:c>
      <x:c r="H8" s="19" t="n">
        <x:v>349.9</x:v>
      </x:c>
      <x:c r="I8" s="20" t="n">
        <x:v>0.12</x:v>
      </x:c>
      <x:c r="J8" s="19" t="n">
        <x:f>IF(K8="Cancelado",0,G8*H8*(1-I8))</x:f>
        <x:v>1847.4719999999998</x:v>
      </x:c>
      <x:c r="K8" s="18" t="str">
        <x:v>Entregue</x:v>
      </x:c>
    </x:row>
    <x:row r="9">
      <x:c r="A9" s="17" t="n">
        <x:v>46275</x:v>
      </x:c>
      <x:c r="B9" s="18" t="str">
        <x:v>PED-1008</x:v>
      </x:c>
      <x:c r="C9" s="18" t="str">
        <x:v>Diego</x:v>
      </x:c>
      <x:c r="D9" s="18" t="str">
        <x:v>Nordeste</x:v>
      </x:c>
      <x:c r="E9" s="18" t="str">
        <x:v>Mesa Lift</x:v>
      </x:c>
      <x:c r="F9" s="18" t="str">
        <x:v>Móveis</x:v>
      </x:c>
      <x:c r="G9" s="18" t="n">
        <x:v>2</x:v>
      </x:c>
      <x:c r="H9" s="19" t="n">
        <x:v>1850</x:v>
      </x:c>
      <x:c r="I9" s="20" t="n">
        <x:v>0.05</x:v>
      </x:c>
      <x:c r="J9" s="19" t="n">
        <x:f>IF(K9="Cancelado",0,G9*H9*(1-I9))</x:f>
        <x:v>3515</x:v>
      </x:c>
      <x:c r="K9" s="18" t="str">
        <x:v>Entregue</x:v>
      </x:c>
    </x:row>
    <x:row r="10">
      <x:c r="A10" s="17" t="n">
        <x:v>46276</x:v>
      </x:c>
      <x:c r="B10" s="18" t="str">
        <x:v>PED-1009</x:v>
      </x:c>
      <x:c r="C10" s="18" t="str">
        <x:v>Ana</x:v>
      </x:c>
      <x:c r="D10" s="18" t="str">
        <x:v>Centro-Oeste</x:v>
      </x:c>
      <x:c r="E10" s="18" t="str">
        <x:v>Monitor Apex 27</x:v>
      </x:c>
      <x:c r="F10" s="18" t="str">
        <x:v>Eletrônicos</x:v>
      </x:c>
      <x:c r="G10" s="18" t="n">
        <x:v>2</x:v>
      </x:c>
      <x:c r="H10" s="19" t="n">
        <x:v>1599</x:v>
      </x:c>
      <x:c r="I10" s="20" t="n">
        <x:v>0</x:v>
      </x:c>
      <x:c r="J10" s="19" t="n">
        <x:f>IF(K10="Cancelado",0,G10*H10*(1-I10))</x:f>
        <x:v>3198</x:v>
      </x:c>
      <x:c r="K10" s="18" t="str">
        <x:v>Devolvido</x:v>
      </x:c>
    </x:row>
    <x:row r="11">
      <x:c r="A11" s="17" t="n">
        <x:v>46277</x:v>
      </x:c>
      <x:c r="B11" s="18" t="str">
        <x:v>PED-1010</x:v>
      </x:c>
      <x:c r="C11" s="18" t="str">
        <x:v>Bruno</x:v>
      </x:c>
      <x:c r="D11" s="18" t="str">
        <x:v>Sudeste</x:v>
      </x:c>
      <x:c r="E11" s="18" t="str">
        <x:v>Webcam Iris</x:v>
      </x:c>
      <x:c r="F11" s="18" t="str">
        <x:v>Acessórios</x:v>
      </x:c>
      <x:c r="G11" s="18" t="n">
        <x:v>10</x:v>
      </x:c>
      <x:c r="H11" s="19" t="n">
        <x:v>249.9</x:v>
      </x:c>
      <x:c r="I11" s="20" t="n">
        <x:v>0.03</x:v>
      </x:c>
      <x:c r="J11" s="19" t="n">
        <x:f>IF(K11="Cancelado",0,G11*H11*(1-I11))</x:f>
        <x:v>2424.0299999999997</x:v>
      </x:c>
      <x:c r="K11" s="18" t="str">
        <x:v>Entregue</x:v>
      </x:c>
    </x:row>
  </x:sheetData>
  <x:dataValidations count="1">
    <x:dataValidation type="list" sqref="K2:K11">
      <x:formula1>"Entregue,Pendente,Cancelado,Devolvido"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ddd1eb12634c1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</x:cols>
  <x:sheetData>
    <x:row r="1">
      <x:c r="A1" s="5" t="str">
        <x:v>Indicador</x:v>
      </x:c>
      <x:c r="B1" s="5" t="str">
        <x:v>Valor</x:v>
      </x:c>
    </x:row>
    <x:row r="2">
      <x:c r="A2" t="str">
        <x:v>Receita total</x:v>
      </x:c>
      <x:c r="B2" s="12" t="n">
        <x:f>SUM(Vendas!J2:J11)</x:f>
        <x:v>33477.912</x:v>
      </x:c>
    </x:row>
    <x:row r="3">
      <x:c r="A3" t="str">
        <x:v>Pedidos</x:v>
      </x:c>
      <x:c r="B3" s="12" t="n">
        <x:f>COUNTA(Vendas!B2:B11)</x:f>
        <x:v>10</x:v>
      </x:c>
    </x:row>
    <x:row r="4">
      <x:c r="A4" t="str">
        <x:v>Ticket médio</x:v>
      </x:c>
      <x:c r="B4" s="12" t="n">
        <x:f>B2/B3</x:f>
        <x:v>3347.7911999999997</x:v>
      </x:c>
    </x:row>
    <x:row r="5">
      <x:c r="A5" t="str">
        <x:v>Itens vendidos</x:v>
      </x:c>
      <x:c r="B5" t="n">
        <x:f>SUM(Vendas!G2:G11)</x:f>
        <x:v>43</x:v>
      </x:c>
    </x:row>
    <x:row r="6">
      <x:c r="A6" t="str">
        <x:v>Pedidos entregues</x:v>
      </x:c>
      <x:c r="B6" t="n">
        <x:f>COUNTIF(Vendas!K2:K11,"Entregue")</x:f>
        <x:v>7</x:v>
      </x:c>
    </x:row>
  </x:sheetData>
  <x:pageMargins left="0.7" right="0.7" top="0.75" bottom="0.75" header="0.3" footer="0.3"/>
</x:worksheet>
</file>