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d9789cca9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tos" sheetId="1" r:id="Rca9e12fcbf5b4ad4"/>
    <x:sheet xmlns:r="http://schemas.openxmlformats.org/officeDocument/2006/relationships" name="Tarefas" sheetId="2" r:id="R25fdaae1c26344a1"/>
    <x:sheet xmlns:r="http://schemas.openxmlformats.org/officeDocument/2006/relationships" name="Equipe" sheetId="3" r:id="R9d795e7c6ddd45e8"/>
    <x:sheet xmlns:r="http://schemas.openxmlformats.org/officeDocument/2006/relationships" name="Riscos" sheetId="4" r:id="R1233097c23bc4f67"/>
    <x:sheet xmlns:r="http://schemas.openxmlformats.org/officeDocument/2006/relationships" name="Resumo" sheetId="5" r:id="Re05f693b884f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b797d87f04f28" /><Relationship Type="http://schemas.openxmlformats.org/officeDocument/2006/relationships/theme" Target="/xl/theme/theme1.xml" Id="R49906de9d0494ebb" /><Relationship Type="http://schemas.openxmlformats.org/officeDocument/2006/relationships/sharedStrings" Target="/xl/sharedStrings.xml" Id="Rb0083e279b484166" /><Relationship Type="http://schemas.openxmlformats.org/officeDocument/2006/relationships/worksheet" Target="/xl/worksheets/sheet1.xml" Id="Rca9e12fcbf5b4ad4" /><Relationship Type="http://schemas.openxmlformats.org/officeDocument/2006/relationships/worksheet" Target="/xl/worksheets/sheet2.xml" Id="R25fdaae1c26344a1" /><Relationship Type="http://schemas.openxmlformats.org/officeDocument/2006/relationships/worksheet" Target="/xl/worksheets/sheet3.xml" Id="R9d795e7c6ddd45e8" /><Relationship Type="http://schemas.openxmlformats.org/officeDocument/2006/relationships/worksheet" Target="/xl/worksheets/sheet4.xml" Id="R1233097c23bc4f67" /><Relationship Type="http://schemas.openxmlformats.org/officeDocument/2006/relationships/worksheet" Target="/xl/worksheets/sheet5.xml" Id="Re05f693b884f490a" /></Relationships>
</file>

<file path=xl/tables/table1.xml><?xml version="1.0" encoding="utf-8"?>
<x:table xmlns:x="http://schemas.openxmlformats.org/spreadsheetml/2006/main" id="1" name="ProjetosTable" displayName="ProjetosTable" ref="A1:G6" headerRowCount="1" totalsRowCount="0" totalsRowShown="0">
  <x:tableColumns count="7">
    <x:tableColumn id="1" name="ID_Projeto"/>
    <x:tableColumn id="2" name="Projeto"/>
    <x:tableColumn id="3" name="Cliente"/>
    <x:tableColumn id="4" name="Responsável"/>
    <x:tableColumn id="5" name="Início"/>
    <x:tableColumn id="6" name="Prazo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efasTable" displayName="TarefasTable" ref="A1:H13" headerRowCount="1" totalsRowCount="0" totalsRowShown="0">
  <x:tableColumns count="8">
    <x:tableColumn id="1" name="ID_Tarefa"/>
    <x:tableColumn id="2" name="ID_Projeto"/>
    <x:tableColumn id="3" name="Tarefa"/>
    <x:tableColumn id="4" name="Responsável"/>
    <x:tableColumn id="5" name="Prioridade"/>
    <x:tableColumn id="6" name="Horas_Estimadas"/>
    <x:tableColumn id="7" name="Horas_Gastas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quipeTable" displayName="EquipeTable" ref="A1:F7" headerRowCount="1" totalsRowCount="0" totalsRowShown="0">
  <x:tableColumns count="6">
    <x:tableColumn id="1" name="Pessoa"/>
    <x:tableColumn id="2" name="Papel"/>
    <x:tableColumn id="3" name="Senioridade"/>
    <x:tableColumn id="4" name="Custo_Hora"/>
    <x:tableColumn id="5" name="Disponibilidade_%"/>
    <x:tableColumn id="6" name="Cida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cosTable" displayName="RiscosTable" ref="A1:G8" headerRowCount="1" totalsRowCount="0" totalsRowShown="0">
  <x:tableColumns count="7">
    <x:tableColumn id="1" name="ID_Risco"/>
    <x:tableColumn id="2" name="ID_Projeto"/>
    <x:tableColumn id="3" name="Descrição"/>
    <x:tableColumn id="4" name="Probabilidade"/>
    <x:tableColumn id="5" name="Impacto"/>
    <x:tableColumn id="6" name="Responsáve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48585d197d44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0bf1a5fc684e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a5006a2e6f4d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ccfd15b50c458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5" hidden="0" customWidth="1"/>
  </x:cols>
  <x:sheetData>
    <x:row r="1">
      <x:c r="A1" s="5" t="str">
        <x:v>ID_Projeto</x:v>
      </x:c>
      <x:c r="B1" s="5" t="str">
        <x:v>Projeto</x:v>
      </x:c>
      <x:c r="C1" s="5" t="str">
        <x:v>Cliente</x:v>
      </x:c>
      <x:c r="D1" s="5" t="str">
        <x:v>Responsável</x:v>
      </x:c>
      <x:c r="E1" s="5" t="str">
        <x:v>Início</x:v>
      </x:c>
      <x:c r="F1" s="5" t="str">
        <x:v>Prazo</x:v>
      </x:c>
      <x:c r="G1" s="5" t="str">
        <x:v>Status</x:v>
      </x:c>
    </x:row>
    <x:row r="2">
      <x:c r="A2" t="str">
        <x:v>PRJ01</x:v>
      </x:c>
      <x:c r="B2" t="str">
        <x:v>Portal Institucional</x:v>
      </x:c>
      <x:c r="C2" t="str">
        <x:v>Cliente A</x:v>
      </x:c>
      <x:c r="D2" t="str">
        <x:v>Marcos</x:v>
      </x:c>
      <x:c r="E2" s="10" t="n">
        <x:v>46235</x:v>
      </x:c>
      <x:c r="F2" s="10" t="n">
        <x:v>46315</x:v>
      </x:c>
      <x:c r="G2" t="str">
        <x:v>Em andamento</x:v>
      </x:c>
    </x:row>
    <x:row r="3">
      <x:c r="A3" t="str">
        <x:v>PRJ02</x:v>
      </x:c>
      <x:c r="B3" t="str">
        <x:v>Dashboard Executivo</x:v>
      </x:c>
      <x:c r="C3" t="str">
        <x:v>Cliente B</x:v>
      </x:c>
      <x:c r="D3" t="str">
        <x:v>Renata</x:v>
      </x:c>
      <x:c r="E3" s="10" t="n">
        <x:v>46249</x:v>
      </x:c>
      <x:c r="F3" s="10" t="n">
        <x:v>46295</x:v>
      </x:c>
      <x:c r="G3" t="str">
        <x:v>Atrasado</x:v>
      </x:c>
    </x:row>
    <x:row r="4">
      <x:c r="A4" t="str">
        <x:v>PRJ03</x:v>
      </x:c>
      <x:c r="B4" t="str">
        <x:v>API Financeira</x:v>
      </x:c>
      <x:c r="C4" t="str">
        <x:v>Cliente C</x:v>
      </x:c>
      <x:c r="D4" t="str">
        <x:v>Marcos</x:v>
      </x:c>
      <x:c r="E4" s="10" t="n">
        <x:v>46266</x:v>
      </x:c>
      <x:c r="F4" s="10" t="n">
        <x:v>46341</x:v>
      </x:c>
      <x:c r="G4" t="str">
        <x:v>Em andamento</x:v>
      </x:c>
    </x:row>
    <x:row r="5">
      <x:c r="A5" t="str">
        <x:v>PRJ04</x:v>
      </x:c>
      <x:c r="B5" t="str">
        <x:v>Migração Legado</x:v>
      </x:c>
      <x:c r="C5" t="str">
        <x:v>Cliente D</x:v>
      </x:c>
      <x:c r="D5" t="str">
        <x:v>Paula</x:v>
      </x:c>
      <x:c r="E5" s="10" t="n">
        <x:v>46213</x:v>
      </x:c>
      <x:c r="F5" s="10" t="n">
        <x:v>46366</x:v>
      </x:c>
      <x:c r="G5" t="str">
        <x:v>Em andamento</x:v>
      </x:c>
    </x:row>
    <x:row r="6">
      <x:c r="A6" t="str">
        <x:v>PRJ05</x:v>
      </x:c>
      <x:c r="B6" t="str">
        <x:v>App de Inventário</x:v>
      </x:c>
      <x:c r="C6" t="str">
        <x:v>Cliente E</x:v>
      </x:c>
      <x:c r="D6" t="str">
        <x:v>Renata</x:v>
      </x:c>
      <x:c r="E6" s="10" t="n">
        <x:v>46285</x:v>
      </x:c>
      <x:c r="F6" s="10" t="n">
        <x:v>46357</x:v>
      </x:c>
      <x:c r="G6" t="str">
        <x:v>Planejado</x:v>
      </x:c>
    </x:row>
  </x:sheetData>
  <x:pageMargins left="0.7" right="0.7" top="0.75" bottom="0.75" header="0.3" footer="0.3"/>
  <x:tableParts count="1">
    <x:tablePart xmlns:r="http://schemas.openxmlformats.org/officeDocument/2006/relationships" r:id="Rad48585d197d44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5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ID_Tarefa</x:v>
      </x:c>
      <x:c r="B1" s="5" t="str">
        <x:v>ID_Projeto</x:v>
      </x:c>
      <x:c r="C1" s="5" t="str">
        <x:v>Tarefa</x:v>
      </x:c>
      <x:c r="D1" s="5" t="str">
        <x:v>Responsável</x:v>
      </x:c>
      <x:c r="E1" s="5" t="str">
        <x:v>Prioridade</x:v>
      </x:c>
      <x:c r="F1" s="5" t="str">
        <x:v>Horas_Estimadas</x:v>
      </x:c>
      <x:c r="G1" s="5" t="str">
        <x:v>Horas_Gastas</x:v>
      </x:c>
      <x:c r="H1" s="5" t="str">
        <x:v>Status</x:v>
      </x:c>
    </x:row>
    <x:row r="2">
      <x:c r="A2" t="str">
        <x:v>T001</x:v>
      </x:c>
      <x:c r="B2" t="str">
        <x:v>PRJ01</x:v>
      </x:c>
      <x:c r="C2" t="str">
        <x:v>Wireframe</x:v>
      </x:c>
      <x:c r="D2" t="str">
        <x:v>Lia</x:v>
      </x:c>
      <x:c r="E2" t="str">
        <x:v>Alta</x:v>
      </x:c>
      <x:c r="F2" t="n">
        <x:v>18</x:v>
      </x:c>
      <x:c r="G2" t="n">
        <x:v>20</x:v>
      </x:c>
      <x:c r="H2" t="str">
        <x:v>Concluída</x:v>
      </x:c>
    </x:row>
    <x:row r="3">
      <x:c r="A3" t="str">
        <x:v>T002</x:v>
      </x:c>
      <x:c r="B3" t="str">
        <x:v>PRJ01</x:v>
      </x:c>
      <x:c r="C3" t="str">
        <x:v>Frontend</x:v>
      </x:c>
      <x:c r="D3" t="str">
        <x:v>Caio</x:v>
      </x:c>
      <x:c r="E3" t="str">
        <x:v>Alta</x:v>
      </x:c>
      <x:c r="F3" t="n">
        <x:v>45</x:v>
      </x:c>
      <x:c r="G3" t="n">
        <x:v>31</x:v>
      </x:c>
      <x:c r="H3" t="str">
        <x:v>Em andamento</x:v>
      </x:c>
    </x:row>
    <x:row r="4">
      <x:c r="A4" t="str">
        <x:v>T003</x:v>
      </x:c>
      <x:c r="B4" t="str">
        <x:v>PRJ01</x:v>
      </x:c>
      <x:c r="C4" t="str">
        <x:v>Integração CMS</x:v>
      </x:c>
      <x:c r="D4" t="str">
        <x:v>Nina</x:v>
      </x:c>
      <x:c r="E4" t="str">
        <x:v>Média</x:v>
      </x:c>
      <x:c r="F4" t="n">
        <x:v>24</x:v>
      </x:c>
      <x:c r="G4" t="n">
        <x:v>0</x:v>
      </x:c>
      <x:c r="H4" t="str">
        <x:v>Não iniciada</x:v>
      </x:c>
    </x:row>
    <x:row r="5">
      <x:c r="A5" t="str">
        <x:v>T004</x:v>
      </x:c>
      <x:c r="B5" t="str">
        <x:v>PRJ02</x:v>
      </x:c>
      <x:c r="C5" t="str">
        <x:v>Modelagem dados</x:v>
      </x:c>
      <x:c r="D5" t="str">
        <x:v>Nina</x:v>
      </x:c>
      <x:c r="E5" t="str">
        <x:v>Alta</x:v>
      </x:c>
      <x:c r="F5" t="n">
        <x:v>20</x:v>
      </x:c>
      <x:c r="G5" t="n">
        <x:v>24</x:v>
      </x:c>
      <x:c r="H5" t="str">
        <x:v>Concluída</x:v>
      </x:c>
    </x:row>
    <x:row r="6">
      <x:c r="A6" t="str">
        <x:v>T005</x:v>
      </x:c>
      <x:c r="B6" t="str">
        <x:v>PRJ02</x:v>
      </x:c>
      <x:c r="C6" t="str">
        <x:v>Dashboard</x:v>
      </x:c>
      <x:c r="D6" t="str">
        <x:v>Lia</x:v>
      </x:c>
      <x:c r="E6" t="str">
        <x:v>Alta</x:v>
      </x:c>
      <x:c r="F6" t="n">
        <x:v>35</x:v>
      </x:c>
      <x:c r="G6" t="n">
        <x:v>41</x:v>
      </x:c>
      <x:c r="H6" t="str">
        <x:v>Em andamento</x:v>
      </x:c>
    </x:row>
    <x:row r="7">
      <x:c r="A7" t="str">
        <x:v>T006</x:v>
      </x:c>
      <x:c r="B7" t="str">
        <x:v>PRJ03</x:v>
      </x:c>
      <x:c r="C7" t="str">
        <x:v>Autenticação</x:v>
      </x:c>
      <x:c r="D7" t="str">
        <x:v>Caio</x:v>
      </x:c>
      <x:c r="E7" t="str">
        <x:v>Crítica</x:v>
      </x:c>
      <x:c r="F7" t="n">
        <x:v>28</x:v>
      </x:c>
      <x:c r="G7" t="n">
        <x:v>18</x:v>
      </x:c>
      <x:c r="H7" t="str">
        <x:v>Em andamento</x:v>
      </x:c>
    </x:row>
    <x:row r="8">
      <x:c r="A8" t="str">
        <x:v>T007</x:v>
      </x:c>
      <x:c r="B8" t="str">
        <x:v>PRJ03</x:v>
      </x:c>
      <x:c r="C8" t="str">
        <x:v>Endpoints</x:v>
      </x:c>
      <x:c r="D8" t="str">
        <x:v>Nina</x:v>
      </x:c>
      <x:c r="E8" t="str">
        <x:v>Alta</x:v>
      </x:c>
      <x:c r="F8" t="n">
        <x:v>40</x:v>
      </x:c>
      <x:c r="G8" t="n">
        <x:v>9</x:v>
      </x:c>
      <x:c r="H8" t="str">
        <x:v>Em andamento</x:v>
      </x:c>
    </x:row>
    <x:row r="9">
      <x:c r="A9" t="str">
        <x:v>T008</x:v>
      </x:c>
      <x:c r="B9" t="str">
        <x:v>PRJ04</x:v>
      </x:c>
      <x:c r="C9" t="str">
        <x:v>Mapear legado</x:v>
      </x:c>
      <x:c r="D9" t="str">
        <x:v>Paula</x:v>
      </x:c>
      <x:c r="E9" t="str">
        <x:v>Alta</x:v>
      </x:c>
      <x:c r="F9" t="n">
        <x:v>32</x:v>
      </x:c>
      <x:c r="G9" t="n">
        <x:v>38</x:v>
      </x:c>
      <x:c r="H9" t="str">
        <x:v>Concluída</x:v>
      </x:c>
    </x:row>
    <x:row r="10">
      <x:c r="A10" t="str">
        <x:v>T009</x:v>
      </x:c>
      <x:c r="B10" t="str">
        <x:v>PRJ04</x:v>
      </x:c>
      <x:c r="C10" t="str">
        <x:v>Plano migração</x:v>
      </x:c>
      <x:c r="D10" t="str">
        <x:v>Marcos</x:v>
      </x:c>
      <x:c r="E10" t="str">
        <x:v>Alta</x:v>
      </x:c>
      <x:c r="F10" t="n">
        <x:v>26</x:v>
      </x:c>
      <x:c r="G10" t="n">
        <x:v>17</x:v>
      </x:c>
      <x:c r="H10" t="str">
        <x:v>Em andamento</x:v>
      </x:c>
    </x:row>
    <x:row r="11">
      <x:c r="A11" t="str">
        <x:v>T010</x:v>
      </x:c>
      <x:c r="B11" t="str">
        <x:v>PRJ04</x:v>
      </x:c>
      <x:c r="C11" t="str">
        <x:v>Testes regressão</x:v>
      </x:c>
      <x:c r="D11" t="str">
        <x:v>Lia</x:v>
      </x:c>
      <x:c r="E11" t="str">
        <x:v>Média</x:v>
      </x:c>
      <x:c r="F11" t="n">
        <x:v>30</x:v>
      </x:c>
      <x:c r="G11" t="n">
        <x:v>0</x:v>
      </x:c>
      <x:c r="H11" t="str">
        <x:v>Não iniciada</x:v>
      </x:c>
    </x:row>
    <x:row r="12">
      <x:c r="A12" t="str">
        <x:v>T011</x:v>
      </x:c>
      <x:c r="B12" t="str">
        <x:v>PRJ05</x:v>
      </x:c>
      <x:c r="C12" t="str">
        <x:v>Levantamento</x:v>
      </x:c>
      <x:c r="D12" t="str">
        <x:v>Renata</x:v>
      </x:c>
      <x:c r="E12" t="str">
        <x:v>Média</x:v>
      </x:c>
      <x:c r="F12" t="n">
        <x:v>12</x:v>
      </x:c>
      <x:c r="G12" t="n">
        <x:v>8</x:v>
      </x:c>
      <x:c r="H12" t="str">
        <x:v>Em andamento</x:v>
      </x:c>
    </x:row>
    <x:row r="13">
      <x:c r="A13" t="str">
        <x:v>T012</x:v>
      </x:c>
      <x:c r="B13" t="str">
        <x:v>PRJ05</x:v>
      </x:c>
      <x:c r="C13" t="str">
        <x:v>Protótipo</x:v>
      </x:c>
      <x:c r="D13" t="str">
        <x:v>Caio</x:v>
      </x:c>
      <x:c r="E13" t="str">
        <x:v>Baixa</x:v>
      </x:c>
      <x:c r="F13" t="n">
        <x:v>18</x:v>
      </x:c>
      <x:c r="G13" t="n">
        <x:v>0</x:v>
      </x:c>
      <x:c r="H13" t="str">
        <x:v>Não iniciada</x:v>
      </x:c>
    </x:row>
  </x:sheetData>
  <x:pageMargins left="0.7" right="0.7" top="0.75" bottom="0.75" header="0.3" footer="0.3"/>
  <x:tableParts count="1">
    <x:tablePart xmlns:r="http://schemas.openxmlformats.org/officeDocument/2006/relationships" r:id="R060bf1a5fc684e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</x:cols>
  <x:sheetData>
    <x:row r="1">
      <x:c r="A1" s="5" t="str">
        <x:v>Pessoa</x:v>
      </x:c>
      <x:c r="B1" s="5" t="str">
        <x:v>Papel</x:v>
      </x:c>
      <x:c r="C1" s="5" t="str">
        <x:v>Senioridade</x:v>
      </x:c>
      <x:c r="D1" s="5" t="str">
        <x:v>Custo_Hora</x:v>
      </x:c>
      <x:c r="E1" s="5" t="str">
        <x:v>Disponibilidade_%</x:v>
      </x:c>
      <x:c r="F1" s="5" t="str">
        <x:v>Cidade</x:v>
      </x:c>
    </x:row>
    <x:row r="2">
      <x:c r="A2" t="str">
        <x:v>Marcos</x:v>
      </x:c>
      <x:c r="B2" t="str">
        <x:v>PM</x:v>
      </x:c>
      <x:c r="C2" t="str">
        <x:v>Sênior</x:v>
      </x:c>
      <x:c r="D2" s="12" t="n">
        <x:v>120</x:v>
      </x:c>
      <x:c r="E2" s="14" t="n">
        <x:v>0.8</x:v>
      </x:c>
      <x:c r="F2" t="str">
        <x:v>Cuiabá</x:v>
      </x:c>
    </x:row>
    <x:row r="3">
      <x:c r="A3" t="str">
        <x:v>Renata</x:v>
      </x:c>
      <x:c r="B3" t="str">
        <x:v>PM</x:v>
      </x:c>
      <x:c r="C3" t="str">
        <x:v>Pleno</x:v>
      </x:c>
      <x:c r="D3" s="12" t="n">
        <x:v>95</x:v>
      </x:c>
      <x:c r="E3" s="14" t="n">
        <x:v>0.9</x:v>
      </x:c>
      <x:c r="F3" t="str">
        <x:v>Cuiabá</x:v>
      </x:c>
    </x:row>
    <x:row r="4">
      <x:c r="A4" t="str">
        <x:v>Paula</x:v>
      </x:c>
      <x:c r="B4" t="str">
        <x:v>Tech Lead</x:v>
      </x:c>
      <x:c r="C4" t="str">
        <x:v>Sênior</x:v>
      </x:c>
      <x:c r="D4" s="12" t="n">
        <x:v>140</x:v>
      </x:c>
      <x:c r="E4" s="14" t="n">
        <x:v>0.7</x:v>
      </x:c>
      <x:c r="F4" t="str">
        <x:v>São Paulo</x:v>
      </x:c>
    </x:row>
    <x:row r="5">
      <x:c r="A5" t="str">
        <x:v>Lia</x:v>
      </x:c>
      <x:c r="B5" t="str">
        <x:v>UX/UI</x:v>
      </x:c>
      <x:c r="C5" t="str">
        <x:v>Pleno</x:v>
      </x:c>
      <x:c r="D5" s="12" t="n">
        <x:v>85</x:v>
      </x:c>
      <x:c r="E5" s="14" t="n">
        <x:v>0.8</x:v>
      </x:c>
      <x:c r="F5" t="str">
        <x:v>Cuiabá</x:v>
      </x:c>
    </x:row>
    <x:row r="6">
      <x:c r="A6" t="str">
        <x:v>Caio</x:v>
      </x:c>
      <x:c r="B6" t="str">
        <x:v>Dev</x:v>
      </x:c>
      <x:c r="C6" t="str">
        <x:v>Pleno</x:v>
      </x:c>
      <x:c r="D6" s="12" t="n">
        <x:v>90</x:v>
      </x:c>
      <x:c r="E6" s="14" t="n">
        <x:v>1</x:v>
      </x:c>
      <x:c r="F6" t="str">
        <x:v>Várzea Grande</x:v>
      </x:c>
    </x:row>
    <x:row r="7">
      <x:c r="A7" t="str">
        <x:v>Nina</x:v>
      </x:c>
      <x:c r="B7" t="str">
        <x:v>Dev</x:v>
      </x:c>
      <x:c r="C7" t="str">
        <x:v>Júnior</x:v>
      </x:c>
      <x:c r="D7" s="12" t="n">
        <x:v>65</x:v>
      </x:c>
      <x:c r="E7" s="14" t="n">
        <x:v>1</x:v>
      </x:c>
      <x:c r="F7" t="str">
        <x:v>Cuiabá</x:v>
      </x:c>
    </x:row>
  </x:sheetData>
  <x:pageMargins left="0.7" right="0.7" top="0.75" bottom="0.75" header="0.3" footer="0.3"/>
  <x:tableParts count="1">
    <x:tablePart xmlns:r="http://schemas.openxmlformats.org/officeDocument/2006/relationships" r:id="R52a5006a2e6f4d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</x:cols>
  <x:sheetData>
    <x:row r="1">
      <x:c r="A1" s="5" t="str">
        <x:v>ID_Risco</x:v>
      </x:c>
      <x:c r="B1" s="5" t="str">
        <x:v>ID_Projeto</x:v>
      </x:c>
      <x:c r="C1" s="5" t="str">
        <x:v>Descrição</x:v>
      </x:c>
      <x:c r="D1" s="5" t="str">
        <x:v>Probabilidade</x:v>
      </x:c>
      <x:c r="E1" s="5" t="str">
        <x:v>Impacto</x:v>
      </x:c>
      <x:c r="F1" s="5" t="str">
        <x:v>Responsável</x:v>
      </x:c>
      <x:c r="G1" s="5" t="str">
        <x:v>Status</x:v>
      </x:c>
    </x:row>
    <x:row r="2">
      <x:c r="A2" t="str">
        <x:v>R001</x:v>
      </x:c>
      <x:c r="B2" t="str">
        <x:v>PRJ01</x:v>
      </x:c>
      <x:c r="C2" t="str">
        <x:v>Atraso na integração CMS</x:v>
      </x:c>
      <x:c r="D2" t="str">
        <x:v>Média</x:v>
      </x:c>
      <x:c r="E2" t="str">
        <x:v>Médio</x:v>
      </x:c>
      <x:c r="F2" t="str">
        <x:v>Marcos</x:v>
      </x:c>
      <x:c r="G2" t="str">
        <x:v>Aberto</x:v>
      </x:c>
    </x:row>
    <x:row r="3">
      <x:c r="A3" t="str">
        <x:v>R002</x:v>
      </x:c>
      <x:c r="B3" t="str">
        <x:v>PRJ02</x:v>
      </x:c>
      <x:c r="C3" t="str">
        <x:v>Dados inconsistentes</x:v>
      </x:c>
      <x:c r="D3" t="str">
        <x:v>Alta</x:v>
      </x:c>
      <x:c r="E3" t="str">
        <x:v>Alto</x:v>
      </x:c>
      <x:c r="F3" t="str">
        <x:v>Renata</x:v>
      </x:c>
      <x:c r="G3" t="str">
        <x:v>Mitigando</x:v>
      </x:c>
    </x:row>
    <x:row r="4">
      <x:c r="A4" t="str">
        <x:v>R003</x:v>
      </x:c>
      <x:c r="B4" t="str">
        <x:v>PRJ03</x:v>
      </x:c>
      <x:c r="C4" t="str">
        <x:v>Mudança de requisito</x:v>
      </x:c>
      <x:c r="D4" t="str">
        <x:v>Média</x:v>
      </x:c>
      <x:c r="E4" t="str">
        <x:v>Alto</x:v>
      </x:c>
      <x:c r="F4" t="str">
        <x:v>Marcos</x:v>
      </x:c>
      <x:c r="G4" t="str">
        <x:v>Aberto</x:v>
      </x:c>
    </x:row>
    <x:row r="5">
      <x:c r="A5" t="str">
        <x:v>R004</x:v>
      </x:c>
      <x:c r="B5" t="str">
        <x:v>PRJ04</x:v>
      </x:c>
      <x:c r="C5" t="str">
        <x:v>Dependência de sistema antigo</x:v>
      </x:c>
      <x:c r="D5" t="str">
        <x:v>Alta</x:v>
      </x:c>
      <x:c r="E5" t="str">
        <x:v>Alto</x:v>
      </x:c>
      <x:c r="F5" t="str">
        <x:v>Paula</x:v>
      </x:c>
      <x:c r="G5" t="str">
        <x:v>Mitigando</x:v>
      </x:c>
    </x:row>
    <x:row r="6">
      <x:c r="A6" t="str">
        <x:v>R005</x:v>
      </x:c>
      <x:c r="B6" t="str">
        <x:v>PRJ04</x:v>
      </x:c>
      <x:c r="C6" t="str">
        <x:v>Baixa cobertura de testes</x:v>
      </x:c>
      <x:c r="D6" t="str">
        <x:v>Alta</x:v>
      </x:c>
      <x:c r="E6" t="str">
        <x:v>Médio</x:v>
      </x:c>
      <x:c r="F6" t="str">
        <x:v>Lia</x:v>
      </x:c>
      <x:c r="G6" t="str">
        <x:v>Aberto</x:v>
      </x:c>
    </x:row>
    <x:row r="7">
      <x:c r="A7" t="str">
        <x:v>R006</x:v>
      </x:c>
      <x:c r="B7" t="str">
        <x:v>PRJ05</x:v>
      </x:c>
      <x:c r="C7" t="str">
        <x:v>Escopo ainda indefinido</x:v>
      </x:c>
      <x:c r="D7" t="str">
        <x:v>Média</x:v>
      </x:c>
      <x:c r="E7" t="str">
        <x:v>Médio</x:v>
      </x:c>
      <x:c r="F7" t="str">
        <x:v>Renata</x:v>
      </x:c>
      <x:c r="G7" t="str">
        <x:v>Aberto</x:v>
      </x:c>
    </x:row>
    <x:row r="8">
      <x:c r="A8" t="str">
        <x:v>R007</x:v>
      </x:c>
      <x:c r="B8" t="str">
        <x:v>PRJ03</x:v>
      </x:c>
      <x:c r="C8" t="str">
        <x:v>Indisponibilidade de ambiente</x:v>
      </x:c>
      <x:c r="D8" t="str">
        <x:v>Baixa</x:v>
      </x:c>
      <x:c r="E8" t="str">
        <x:v>Alto</x:v>
      </x:c>
      <x:c r="F8" t="str">
        <x:v>Nina</x:v>
      </x:c>
      <x:c r="G8" t="str">
        <x:v>Fechado</x:v>
      </x:c>
    </x:row>
  </x:sheetData>
  <x:pageMargins left="0.7" right="0.7" top="0.75" bottom="0.75" header="0.3" footer="0.3"/>
  <x:tableParts count="1">
    <x:tablePart xmlns:r="http://schemas.openxmlformats.org/officeDocument/2006/relationships" r:id="Rceccfd15b50c45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5" t="str">
        <x:v>Indicador</x:v>
      </x:c>
      <x:c r="B1" s="5" t="str">
        <x:v>Valor</x:v>
      </x:c>
    </x:row>
    <x:row r="2">
      <x:c r="A2" t="str">
        <x:v>Projetos</x:v>
      </x:c>
      <x:c r="B2" t="n">
        <x:f>COUNTA(Projetos!A2:A6)</x:f>
        <x:v>5</x:v>
      </x:c>
    </x:row>
    <x:row r="3">
      <x:c r="A3" t="str">
        <x:v>Projetos atrasados</x:v>
      </x:c>
      <x:c r="B3" t="n">
        <x:f>COUNTIF(Projetos!G2:G6,"Atrasado")</x:f>
        <x:v>1</x:v>
      </x:c>
    </x:row>
    <x:row r="4">
      <x:c r="A4" t="str">
        <x:v>Horas estimadas</x:v>
      </x:c>
      <x:c r="B4" t="n">
        <x:f>SUM(Tarefas!F2:F13)</x:f>
        <x:v>328</x:v>
      </x:c>
    </x:row>
    <x:row r="5">
      <x:c r="A5" t="str">
        <x:v>Horas gastas</x:v>
      </x:c>
      <x:c r="B5" t="n">
        <x:f>SUM(Tarefas!G2:G13)</x:f>
        <x:v>206</x:v>
      </x:c>
    </x:row>
    <x:row r="6">
      <x:c r="A6" t="str">
        <x:v>Tarefas concluídas</x:v>
      </x:c>
      <x:c r="B6" t="n">
        <x:f>COUNTIF(Tarefas!H2:H13,"Concluída")</x:f>
        <x:v>3</x:v>
      </x:c>
    </x:row>
    <x:row r="7">
      <x:c r="A7" t="str">
        <x:v>Riscos abertos</x:v>
      </x:c>
      <x:c r="B7" t="n">
        <x:f>COUNTIF(Riscos!G2:G8,"Aberto")</x:f>
        <x:v>4</x:v>
      </x:c>
    </x:row>
  </x:sheetData>
  <x:pageMargins left="0.7" right="0.7" top="0.75" bottom="0.75" header="0.3" footer="0.3"/>
</x:worksheet>
</file>