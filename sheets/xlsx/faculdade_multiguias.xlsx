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55d63f4e2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d33b064ca0564dd9"/>
    <x:sheet xmlns:r="http://schemas.openxmlformats.org/officeDocument/2006/relationships" name="Disciplinas" sheetId="2" r:id="R4efc1197532f4a68"/>
    <x:sheet xmlns:r="http://schemas.openxmlformats.org/officeDocument/2006/relationships" name="Matriculas" sheetId="3" r:id="Rc195d2acc5af4243"/>
    <x:sheet xmlns:r="http://schemas.openxmlformats.org/officeDocument/2006/relationships" name="Notas" sheetId="4" r:id="R8560bc7c33244d3e"/>
    <x:sheet xmlns:r="http://schemas.openxmlformats.org/officeDocument/2006/relationships" name="Resumo" sheetId="5" r:id="Ra9ae13ad726c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4594e01804bd9" /><Relationship Type="http://schemas.openxmlformats.org/officeDocument/2006/relationships/theme" Target="/xl/theme/theme1.xml" Id="Rc5ee6b1d531a41bf" /><Relationship Type="http://schemas.microsoft.com/office/2022/11/relationships/FeaturePropertyBag" Target="/xl/featurePropertyBag/featurePropertyBag.xml" Id="Rf493a879b7024d0c" /><Relationship Type="http://schemas.openxmlformats.org/officeDocument/2006/relationships/sharedStrings" Target="/xl/sharedStrings.xml" Id="R9434472dac9b46ff" /><Relationship Type="http://schemas.openxmlformats.org/officeDocument/2006/relationships/worksheet" Target="/xl/worksheets/sheet1.xml" Id="Rd33b064ca0564dd9" /><Relationship Type="http://schemas.openxmlformats.org/officeDocument/2006/relationships/worksheet" Target="/xl/worksheets/sheet2.xml" Id="R4efc1197532f4a68" /><Relationship Type="http://schemas.openxmlformats.org/officeDocument/2006/relationships/worksheet" Target="/xl/worksheets/sheet3.xml" Id="Rc195d2acc5af4243" /><Relationship Type="http://schemas.openxmlformats.org/officeDocument/2006/relationships/worksheet" Target="/xl/worksheets/sheet4.xml" Id="R8560bc7c33244d3e" /><Relationship Type="http://schemas.openxmlformats.org/officeDocument/2006/relationships/worksheet" Target="/xl/worksheets/sheet5.xml" Id="Ra9ae13ad726c49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unosTable" displayName="AlunosTable" ref="A1:F9" headerRowCount="1" totalsRowCount="0" totalsRowShown="0">
  <x:tableColumns count="6">
    <x:tableColumn id="1" name="RA"/>
    <x:tableColumn id="2" name="Nome"/>
    <x:tableColumn id="3" name="Curso"/>
    <x:tableColumn id="4" name="Semestre"/>
    <x:tableColumn id="5" name="Cidade"/>
    <x:tableColumn id="6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iplinasTable" displayName="DisciplinasTable" ref="A1:F7" headerRowCount="1" totalsRowCount="0" totalsRowShown="0">
  <x:tableColumns count="6">
    <x:tableColumn id="1" name="Cod"/>
    <x:tableColumn id="2" name="Disciplina"/>
    <x:tableColumn id="3" name="Professor"/>
    <x:tableColumn id="4" name="Créditos"/>
    <x:tableColumn id="5" name="Departamento"/>
    <x:tableColumn id="6" name="Carga_Horár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riculasTable" displayName="MatriculasTable" ref="A1:F13" headerRowCount="1" totalsRowCount="0" totalsRowShown="0">
  <x:tableColumns count="6">
    <x:tableColumn id="1" name="RA"/>
    <x:tableColumn id="2" name="Cod_Disciplina"/>
    <x:tableColumn id="3" name="Ano"/>
    <x:tableColumn id="4" name="Periodo"/>
    <x:tableColumn id="5" name="Status"/>
    <x:tableColumn id="6" name="Frequê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tasTable" displayName="NotasTable" ref="A1:G13" headerRowCount="1" totalsRowCount="0" totalsRowShown="0">
  <x:tableColumns count="7">
    <x:tableColumn id="1" name="RA"/>
    <x:tableColumn id="2" name="Cod_Disciplina"/>
    <x:tableColumn id="3" name="P1"/>
    <x:tableColumn id="4" name="P2"/>
    <x:tableColumn id="5" name="Trabalho"/>
    <x:tableColumn id="6" name="Média"/>
    <x:tableColumn id="7" name="Situ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688038aceb47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5ede9b802c42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ec7cfe64f740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fe9fcd9ec441d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0" hidden="0" customWidth="1"/>
    <x:col min="5" max="5" width="18" hidden="0" customWidth="1"/>
    <x:col min="6" max="6" width="10" hidden="0" customWidth="1"/>
  </x:cols>
  <x:sheetData>
    <x:row r="1">
      <x:c r="A1" s="7" t="str">
        <x:v>RA</x:v>
      </x:c>
      <x:c r="B1" s="7" t="str">
        <x:v>Nome</x:v>
      </x:c>
      <x:c r="C1" s="7" t="str">
        <x:v>Curso</x:v>
      </x:c>
      <x:c r="D1" s="7" t="str">
        <x:v>Semestre</x:v>
      </x:c>
      <x:c r="E1" s="7" t="str">
        <x:v>Cidade</x:v>
      </x:c>
      <x:c r="F1" s="7" t="str">
        <x:v>Ativo</x:v>
      </x:c>
    </x:row>
    <x:row r="2">
      <x:c r="A2" t="str">
        <x:v>2026001</x:v>
      </x:c>
      <x:c r="B2" t="str">
        <x:v>Lucas Rocha</x:v>
      </x:c>
      <x:c r="C2" t="str">
        <x:v>Eng. Computação</x:v>
      </x:c>
      <x:c r="D2" t="n">
        <x:v>3</x:v>
      </x:c>
      <x:c r="E2" t="str">
        <x:v>Cuiabá</x:v>
      </x:c>
      <x:c r="F2" s="1" t="b">
        <x:v>1</x:v>
      </x:c>
    </x:row>
    <x:row r="3">
      <x:c r="A3" t="str">
        <x:v>2026002</x:v>
      </x:c>
      <x:c r="B3" t="str">
        <x:v>Marina Lopes</x:v>
      </x:c>
      <x:c r="C3" t="str">
        <x:v>Eng. Computação</x:v>
      </x:c>
      <x:c r="D3" t="n">
        <x:v>5</x:v>
      </x:c>
      <x:c r="E3" t="str">
        <x:v>Várzea Grande</x:v>
      </x:c>
      <x:c r="F3" s="1" t="b">
        <x:v>1</x:v>
      </x:c>
    </x:row>
    <x:row r="4">
      <x:c r="A4" t="str">
        <x:v>2026003</x:v>
      </x:c>
      <x:c r="B4" t="str">
        <x:v>João Vitor</x:v>
      </x:c>
      <x:c r="C4" t="str">
        <x:v>Sistemas de Informação</x:v>
      </x:c>
      <x:c r="D4" t="n">
        <x:v>2</x:v>
      </x:c>
      <x:c r="E4" t="str">
        <x:v>Cuiabá</x:v>
      </x:c>
      <x:c r="F4" s="1" t="b">
        <x:v>1</x:v>
      </x:c>
    </x:row>
    <x:row r="5">
      <x:c r="A5" t="str">
        <x:v>2026004</x:v>
      </x:c>
      <x:c r="B5" t="str">
        <x:v>Carla Mendes</x:v>
      </x:c>
      <x:c r="C5" t="str">
        <x:v>Eng. Elétrica</x:v>
      </x:c>
      <x:c r="D5" t="n">
        <x:v>6</x:v>
      </x:c>
      <x:c r="E5" t="str">
        <x:v>Cuiabá</x:v>
      </x:c>
      <x:c r="F5" s="1" t="b">
        <x:v>1</x:v>
      </x:c>
    </x:row>
    <x:row r="6">
      <x:c r="A6" t="str">
        <x:v>2026005</x:v>
      </x:c>
      <x:c r="B6" t="str">
        <x:v>Pedro Lima</x:v>
      </x:c>
      <x:c r="C6" t="str">
        <x:v>Eng. Computação</x:v>
      </x:c>
      <x:c r="D6" t="n">
        <x:v>7</x:v>
      </x:c>
      <x:c r="E6" t="str">
        <x:v>Rondonópolis</x:v>
      </x:c>
      <x:c r="F6" s="1" t="b">
        <x:v>0</x:v>
      </x:c>
    </x:row>
    <x:row r="7">
      <x:c r="A7" t="str">
        <x:v>2026006</x:v>
      </x:c>
      <x:c r="B7" t="str">
        <x:v>Aline Souza</x:v>
      </x:c>
      <x:c r="C7" t="str">
        <x:v>Sistemas de Informação</x:v>
      </x:c>
      <x:c r="D7" t="n">
        <x:v>4</x:v>
      </x:c>
      <x:c r="E7" t="str">
        <x:v>Cuiabá</x:v>
      </x:c>
      <x:c r="F7" s="1" t="b">
        <x:v>1</x:v>
      </x:c>
    </x:row>
    <x:row r="8">
      <x:c r="A8" t="str">
        <x:v>2026007</x:v>
      </x:c>
      <x:c r="B8" t="str">
        <x:v>Rafael Silva</x:v>
      </x:c>
      <x:c r="C8" t="str">
        <x:v>Eng. Elétrica</x:v>
      </x:c>
      <x:c r="D8" t="n">
        <x:v>3</x:v>
      </x:c>
      <x:c r="E8" t="str">
        <x:v>Sinop</x:v>
      </x:c>
      <x:c r="F8" s="1" t="b">
        <x:v>1</x:v>
      </x:c>
    </x:row>
    <x:row r="9">
      <x:c r="A9" t="str">
        <x:v>2026008</x:v>
      </x:c>
      <x:c r="B9" t="str">
        <x:v>Bianca Costa</x:v>
      </x:c>
      <x:c r="C9" t="str">
        <x:v>Eng. Computação</x:v>
      </x:c>
      <x:c r="D9" t="n">
        <x:v>1</x:v>
      </x:c>
      <x:c r="E9" t="str">
        <x:v>Cuiabá</x:v>
      </x:c>
      <x:c r="F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f688038aceb47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0" hidden="0" customWidth="1"/>
    <x:col min="5" max="5" width="16" hidden="0" customWidth="1"/>
    <x:col min="6" max="6" width="15" hidden="0" customWidth="1"/>
  </x:cols>
  <x:sheetData>
    <x:row r="1">
      <x:c r="A1" s="7" t="str">
        <x:v>Cod</x:v>
      </x:c>
      <x:c r="B1" s="7" t="str">
        <x:v>Disciplina</x:v>
      </x:c>
      <x:c r="C1" s="7" t="str">
        <x:v>Professor</x:v>
      </x:c>
      <x:c r="D1" s="7" t="str">
        <x:v>Créditos</x:v>
      </x:c>
      <x:c r="E1" s="7" t="str">
        <x:v>Departamento</x:v>
      </x:c>
      <x:c r="F1" s="7" t="str">
        <x:v>Carga_Horária</x:v>
      </x:c>
    </x:row>
    <x:row r="2">
      <x:c r="A2" t="str">
        <x:v>EC301</x:v>
      </x:c>
      <x:c r="B2" t="str">
        <x:v>Cálculo III</x:v>
      </x:c>
      <x:c r="C2" t="str">
        <x:v>Prof. Ramos</x:v>
      </x:c>
      <x:c r="D2" t="n">
        <x:v>4</x:v>
      </x:c>
      <x:c r="E2" t="str">
        <x:v>Matemática</x:v>
      </x:c>
      <x:c r="F2" t="n">
        <x:v>64</x:v>
      </x:c>
    </x:row>
    <x:row r="3">
      <x:c r="A3" t="str">
        <x:v>EC302</x:v>
      </x:c>
      <x:c r="B3" t="str">
        <x:v>Redes de Computadores</x:v>
      </x:c>
      <x:c r="C3" t="str">
        <x:v>Prof. Nunes</x:v>
      </x:c>
      <x:c r="D3" t="n">
        <x:v>4</x:v>
      </x:c>
      <x:c r="E3" t="str">
        <x:v>Computação</x:v>
      </x:c>
      <x:c r="F3" t="n">
        <x:v>64</x:v>
      </x:c>
    </x:row>
    <x:row r="4">
      <x:c r="A4" t="str">
        <x:v>EC303</x:v>
      </x:c>
      <x:c r="B4" t="str">
        <x:v>Arquitetura de Computadores</x:v>
      </x:c>
      <x:c r="C4" t="str">
        <x:v>Prof. Melo</x:v>
      </x:c>
      <x:c r="D4" t="n">
        <x:v>4</x:v>
      </x:c>
      <x:c r="E4" t="str">
        <x:v>Computação</x:v>
      </x:c>
      <x:c r="F4" t="n">
        <x:v>64</x:v>
      </x:c>
    </x:row>
    <x:row r="5">
      <x:c r="A5" t="str">
        <x:v>SI201</x:v>
      </x:c>
      <x:c r="B5" t="str">
        <x:v>Banco de Dados</x:v>
      </x:c>
      <x:c r="C5" t="str">
        <x:v>Prof. Lima</x:v>
      </x:c>
      <x:c r="D5" t="n">
        <x:v>4</x:v>
      </x:c>
      <x:c r="E5" t="str">
        <x:v>Computação</x:v>
      </x:c>
      <x:c r="F5" t="n">
        <x:v>64</x:v>
      </x:c>
    </x:row>
    <x:row r="6">
      <x:c r="A6" t="str">
        <x:v>EE410</x:v>
      </x:c>
      <x:c r="B6" t="str">
        <x:v>Circuitos Elétricos</x:v>
      </x:c>
      <x:c r="C6" t="str">
        <x:v>Prof. Alves</x:v>
      </x:c>
      <x:c r="D6" t="n">
        <x:v>5</x:v>
      </x:c>
      <x:c r="E6" t="str">
        <x:v>Elétrica</x:v>
      </x:c>
      <x:c r="F6" t="n">
        <x:v>80</x:v>
      </x:c>
    </x:row>
    <x:row r="7">
      <x:c r="A7" t="str">
        <x:v>EC304</x:v>
      </x:c>
      <x:c r="B7" t="str">
        <x:v>Engenharia de Software</x:v>
      </x:c>
      <x:c r="C7" t="str">
        <x:v>Prof. Aline</x:v>
      </x:c>
      <x:c r="D7" t="n">
        <x:v>4</x:v>
      </x:c>
      <x:c r="E7" t="str">
        <x:v>Computação</x:v>
      </x:c>
      <x:c r="F7" t="n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475ede9b802c42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2" hidden="0" customWidth="1"/>
  </x:cols>
  <x:sheetData>
    <x:row r="1">
      <x:c r="A1" s="7" t="str">
        <x:v>RA</x:v>
      </x:c>
      <x:c r="B1" s="7" t="str">
        <x:v>Cod_Disciplina</x:v>
      </x:c>
      <x:c r="C1" s="7" t="str">
        <x:v>Ano</x:v>
      </x:c>
      <x:c r="D1" s="7" t="str">
        <x:v>Periodo</x:v>
      </x:c>
      <x:c r="E1" s="7" t="str">
        <x:v>Status</x:v>
      </x:c>
      <x:c r="F1" s="7" t="str">
        <x:v>Frequência</x:v>
      </x:c>
    </x:row>
    <x:row r="2">
      <x:c r="A2" t="str">
        <x:v>2026001</x:v>
      </x:c>
      <x:c r="B2" t="str">
        <x:v>EC301</x:v>
      </x:c>
      <x:c r="C2" t="n">
        <x:v>2026</x:v>
      </x:c>
      <x:c r="D2" t="n">
        <x:v>2</x:v>
      </x:c>
      <x:c r="E2" t="str">
        <x:v>Matriculado</x:v>
      </x:c>
      <x:c r="F2" s="12" t="n">
        <x:v>0.92</x:v>
      </x:c>
    </x:row>
    <x:row r="3">
      <x:c r="A3" t="str">
        <x:v>2026001</x:v>
      </x:c>
      <x:c r="B3" t="str">
        <x:v>EC302</x:v>
      </x:c>
      <x:c r="C3" t="n">
        <x:v>2026</x:v>
      </x:c>
      <x:c r="D3" t="n">
        <x:v>2</x:v>
      </x:c>
      <x:c r="E3" t="str">
        <x:v>Matriculado</x:v>
      </x:c>
      <x:c r="F3" s="12" t="n">
        <x:v>0.88</x:v>
      </x:c>
    </x:row>
    <x:row r="4">
      <x:c r="A4" t="str">
        <x:v>2026002</x:v>
      </x:c>
      <x:c r="B4" t="str">
        <x:v>EC303</x:v>
      </x:c>
      <x:c r="C4" t="n">
        <x:v>2026</x:v>
      </x:c>
      <x:c r="D4" t="n">
        <x:v>2</x:v>
      </x:c>
      <x:c r="E4" t="str">
        <x:v>Matriculado</x:v>
      </x:c>
      <x:c r="F4" s="12" t="n">
        <x:v>0.95</x:v>
      </x:c>
    </x:row>
    <x:row r="5">
      <x:c r="A5" t="str">
        <x:v>2026002</x:v>
      </x:c>
      <x:c r="B5" t="str">
        <x:v>EC304</x:v>
      </x:c>
      <x:c r="C5" t="n">
        <x:v>2026</x:v>
      </x:c>
      <x:c r="D5" t="n">
        <x:v>2</x:v>
      </x:c>
      <x:c r="E5" t="str">
        <x:v>Matriculado</x:v>
      </x:c>
      <x:c r="F5" s="12" t="n">
        <x:v>0.9</x:v>
      </x:c>
    </x:row>
    <x:row r="6">
      <x:c r="A6" t="str">
        <x:v>2026003</x:v>
      </x:c>
      <x:c r="B6" t="str">
        <x:v>SI201</x:v>
      </x:c>
      <x:c r="C6" t="n">
        <x:v>2026</x:v>
      </x:c>
      <x:c r="D6" t="n">
        <x:v>2</x:v>
      </x:c>
      <x:c r="E6" t="str">
        <x:v>Matriculado</x:v>
      </x:c>
      <x:c r="F6" s="12" t="n">
        <x:v>0.84</x:v>
      </x:c>
    </x:row>
    <x:row r="7">
      <x:c r="A7" t="str">
        <x:v>2026004</x:v>
      </x:c>
      <x:c r="B7" t="str">
        <x:v>EE410</x:v>
      </x:c>
      <x:c r="C7" t="n">
        <x:v>2026</x:v>
      </x:c>
      <x:c r="D7" t="n">
        <x:v>2</x:v>
      </x:c>
      <x:c r="E7" t="str">
        <x:v>Matriculado</x:v>
      </x:c>
      <x:c r="F7" s="12" t="n">
        <x:v>0.97</x:v>
      </x:c>
    </x:row>
    <x:row r="8">
      <x:c r="A8" t="str">
        <x:v>2026006</x:v>
      </x:c>
      <x:c r="B8" t="str">
        <x:v>SI201</x:v>
      </x:c>
      <x:c r="C8" t="n">
        <x:v>2026</x:v>
      </x:c>
      <x:c r="D8" t="n">
        <x:v>2</x:v>
      </x:c>
      <x:c r="E8" t="str">
        <x:v>Matriculado</x:v>
      </x:c>
      <x:c r="F8" s="12" t="n">
        <x:v>0.91</x:v>
      </x:c>
    </x:row>
    <x:row r="9">
      <x:c r="A9" t="str">
        <x:v>2026006</x:v>
      </x:c>
      <x:c r="B9" t="str">
        <x:v>EC304</x:v>
      </x:c>
      <x:c r="C9" t="n">
        <x:v>2026</x:v>
      </x:c>
      <x:c r="D9" t="n">
        <x:v>2</x:v>
      </x:c>
      <x:c r="E9" t="str">
        <x:v>Matriculado</x:v>
      </x:c>
      <x:c r="F9" s="12" t="n">
        <x:v>0.86</x:v>
      </x:c>
    </x:row>
    <x:row r="10">
      <x:c r="A10" t="str">
        <x:v>2026007</x:v>
      </x:c>
      <x:c r="B10" t="str">
        <x:v>EE410</x:v>
      </x:c>
      <x:c r="C10" t="n">
        <x:v>2026</x:v>
      </x:c>
      <x:c r="D10" t="n">
        <x:v>2</x:v>
      </x:c>
      <x:c r="E10" t="str">
        <x:v>Trancado</x:v>
      </x:c>
      <x:c r="F10" s="12" t="n">
        <x:v>0.52</x:v>
      </x:c>
    </x:row>
    <x:row r="11">
      <x:c r="A11" t="str">
        <x:v>2026008</x:v>
      </x:c>
      <x:c r="B11" t="str">
        <x:v>EC301</x:v>
      </x:c>
      <x:c r="C11" t="n">
        <x:v>2026</x:v>
      </x:c>
      <x:c r="D11" t="n">
        <x:v>2</x:v>
      </x:c>
      <x:c r="E11" t="str">
        <x:v>Matriculado</x:v>
      </x:c>
      <x:c r="F11" s="12" t="n">
        <x:v>0.89</x:v>
      </x:c>
    </x:row>
    <x:row r="12">
      <x:c r="A12" t="str">
        <x:v>2026008</x:v>
      </x:c>
      <x:c r="B12" t="str">
        <x:v>EC302</x:v>
      </x:c>
      <x:c r="C12" t="n">
        <x:v>2026</x:v>
      </x:c>
      <x:c r="D12" t="n">
        <x:v>2</x:v>
      </x:c>
      <x:c r="E12" t="str">
        <x:v>Matriculado</x:v>
      </x:c>
      <x:c r="F12" s="12" t="n">
        <x:v>0.93</x:v>
      </x:c>
    </x:row>
    <x:row r="13">
      <x:c r="A13" t="str">
        <x:v>2026008</x:v>
      </x:c>
      <x:c r="B13" t="str">
        <x:v>EC304</x:v>
      </x:c>
      <x:c r="C13" t="n">
        <x:v>2026</x:v>
      </x:c>
      <x:c r="D13" t="n">
        <x:v>2</x:v>
      </x:c>
      <x:c r="E13" t="str">
        <x:v>Matriculado</x:v>
      </x:c>
      <x:c r="F13" s="12" t="n">
        <x:v>0.94</x:v>
      </x:c>
    </x:row>
  </x:sheetData>
  <x:pageMargins left="0.7" right="0.7" top="0.75" bottom="0.75" header="0.3" footer="0.3"/>
  <x:tableParts count="1">
    <x:tablePart xmlns:r="http://schemas.openxmlformats.org/officeDocument/2006/relationships" r:id="R1aec7cfe64f740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</x:cols>
  <x:sheetData>
    <x:row r="1">
      <x:c r="A1" s="7" t="str">
        <x:v>RA</x:v>
      </x:c>
      <x:c r="B1" s="7" t="str">
        <x:v>Cod_Disciplina</x:v>
      </x:c>
      <x:c r="C1" s="7" t="str">
        <x:v>P1</x:v>
      </x:c>
      <x:c r="D1" s="7" t="str">
        <x:v>P2</x:v>
      </x:c>
      <x:c r="E1" s="7" t="str">
        <x:v>Trabalho</x:v>
      </x:c>
      <x:c r="F1" s="7" t="str">
        <x:v>Média</x:v>
      </x:c>
      <x:c r="G1" s="7" t="str">
        <x:v>Situação</x:v>
      </x:c>
    </x:row>
    <x:row r="2">
      <x:c r="A2" t="str">
        <x:v>2026001</x:v>
      </x:c>
      <x:c r="B2" t="str">
        <x:v>EC301</x:v>
      </x:c>
      <x:c r="C2" s="14" t="n">
        <x:v>7.2</x:v>
      </x:c>
      <x:c r="D2" s="14" t="n">
        <x:v>8</x:v>
      </x:c>
      <x:c r="E2" s="14" t="n">
        <x:v>9</x:v>
      </x:c>
      <x:c r="F2" s="14" t="n">
        <x:f>(C2+D2+E2)/3</x:f>
        <x:v>8.066666666666666</x:v>
      </x:c>
      <x:c r="G2" t="str">
        <x:f>IF(F2&gt;=7,"Aprovado",IF(F2&gt;=5,"Final","Reprovado"))</x:f>
        <x:v>Aprovado</x:v>
      </x:c>
    </x:row>
    <x:row r="3">
      <x:c r="A3" t="str">
        <x:v>2026001</x:v>
      </x:c>
      <x:c r="B3" t="str">
        <x:v>EC302</x:v>
      </x:c>
      <x:c r="C3" s="14" t="n">
        <x:v>8.5</x:v>
      </x:c>
      <x:c r="D3" s="14" t="n">
        <x:v>7.8</x:v>
      </x:c>
      <x:c r="E3" s="14" t="n">
        <x:v>9.5</x:v>
      </x:c>
      <x:c r="F3" s="14" t="n">
        <x:f>(C3+D3+E3)/3</x:f>
        <x:v>8.6</x:v>
      </x:c>
      <x:c r="G3" t="str">
        <x:f>IF(F3&gt;=7,"Aprovado",IF(F3&gt;=5,"Final","Reprovado"))</x:f>
        <x:v>Aprovado</x:v>
      </x:c>
    </x:row>
    <x:row r="4">
      <x:c r="A4" t="str">
        <x:v>2026002</x:v>
      </x:c>
      <x:c r="B4" t="str">
        <x:v>EC303</x:v>
      </x:c>
      <x:c r="C4" s="14" t="n">
        <x:v>9.1</x:v>
      </x:c>
      <x:c r="D4" s="14" t="n">
        <x:v>8.8</x:v>
      </x:c>
      <x:c r="E4" s="14" t="n">
        <x:v>10</x:v>
      </x:c>
      <x:c r="F4" s="14" t="n">
        <x:f>(C4+D4+E4)/3</x:f>
        <x:v>9.299999999999999</x:v>
      </x:c>
      <x:c r="G4" t="str">
        <x:f>IF(F4&gt;=7,"Aprovado",IF(F4&gt;=5,"Final","Reprovado"))</x:f>
        <x:v>Aprovado</x:v>
      </x:c>
    </x:row>
    <x:row r="5">
      <x:c r="A5" t="str">
        <x:v>2026002</x:v>
      </x:c>
      <x:c r="B5" t="str">
        <x:v>EC304</x:v>
      </x:c>
      <x:c r="C5" s="14" t="n">
        <x:v>8</x:v>
      </x:c>
      <x:c r="D5" s="14" t="n">
        <x:v>8.7</x:v>
      </x:c>
      <x:c r="E5" s="14" t="n">
        <x:v>9.2</x:v>
      </x:c>
      <x:c r="F5" s="14" t="n">
        <x:f>(C5+D5+E5)/3</x:f>
        <x:v>8.633333333333333</x:v>
      </x:c>
      <x:c r="G5" t="str">
        <x:f>IF(F5&gt;=7,"Aprovado",IF(F5&gt;=5,"Final","Reprovado"))</x:f>
        <x:v>Aprovado</x:v>
      </x:c>
    </x:row>
    <x:row r="6">
      <x:c r="A6" t="str">
        <x:v>2026003</x:v>
      </x:c>
      <x:c r="B6" t="str">
        <x:v>SI201</x:v>
      </x:c>
      <x:c r="C6" s="14" t="n">
        <x:v>6.5</x:v>
      </x:c>
      <x:c r="D6" s="14" t="n">
        <x:v>7</x:v>
      </x:c>
      <x:c r="E6" s="14" t="n">
        <x:v>8</x:v>
      </x:c>
      <x:c r="F6" s="14" t="n">
        <x:f>(C6+D6+E6)/3</x:f>
        <x:v>7.166666666666667</x:v>
      </x:c>
      <x:c r="G6" t="str">
        <x:f>IF(F6&gt;=7,"Aprovado",IF(F6&gt;=5,"Final","Reprovado"))</x:f>
        <x:v>Aprovado</x:v>
      </x:c>
    </x:row>
    <x:row r="7">
      <x:c r="A7" t="str">
        <x:v>2026004</x:v>
      </x:c>
      <x:c r="B7" t="str">
        <x:v>EE410</x:v>
      </x:c>
      <x:c r="C7" s="14" t="n">
        <x:v>7.8</x:v>
      </x:c>
      <x:c r="D7" s="14" t="n">
        <x:v>6.9</x:v>
      </x:c>
      <x:c r="E7" s="14" t="n">
        <x:v>8.5</x:v>
      </x:c>
      <x:c r="F7" s="14" t="n">
        <x:f>(C7+D7+E7)/3</x:f>
        <x:v>7.733333333333333</x:v>
      </x:c>
      <x:c r="G7" t="str">
        <x:f>IF(F7&gt;=7,"Aprovado",IF(F7&gt;=5,"Final","Reprovado"))</x:f>
        <x:v>Aprovado</x:v>
      </x:c>
    </x:row>
    <x:row r="8">
      <x:c r="A8" t="str">
        <x:v>2026006</x:v>
      </x:c>
      <x:c r="B8" t="str">
        <x:v>SI201</x:v>
      </x:c>
      <x:c r="C8" s="14" t="n">
        <x:v>9</x:v>
      </x:c>
      <x:c r="D8" s="14" t="n">
        <x:v>9.2</x:v>
      </x:c>
      <x:c r="E8" s="14" t="n">
        <x:v>8.8</x:v>
      </x:c>
      <x:c r="F8" s="14" t="n">
        <x:f>(C8+D8+E8)/3</x:f>
        <x:v>9</x:v>
      </x:c>
      <x:c r="G8" t="str">
        <x:f>IF(F8&gt;=7,"Aprovado",IF(F8&gt;=5,"Final","Reprovado"))</x:f>
        <x:v>Aprovado</x:v>
      </x:c>
    </x:row>
    <x:row r="9">
      <x:c r="A9" t="str">
        <x:v>2026006</x:v>
      </x:c>
      <x:c r="B9" t="str">
        <x:v>EC304</x:v>
      </x:c>
      <x:c r="C9" s="14" t="n">
        <x:v>7</x:v>
      </x:c>
      <x:c r="D9" s="14" t="n">
        <x:v>7.5</x:v>
      </x:c>
      <x:c r="E9" s="14" t="n">
        <x:v>8</x:v>
      </x:c>
      <x:c r="F9" s="14" t="n">
        <x:f>(C9+D9+E9)/3</x:f>
        <x:v>7.5</x:v>
      </x:c>
      <x:c r="G9" t="str">
        <x:f>IF(F9&gt;=7,"Aprovado",IF(F9&gt;=5,"Final","Reprovado"))</x:f>
        <x:v>Aprovado</x:v>
      </x:c>
    </x:row>
    <x:row r="10">
      <x:c r="A10" t="str">
        <x:v>2026007</x:v>
      </x:c>
      <x:c r="B10" t="str">
        <x:v>EE410</x:v>
      </x:c>
      <x:c r="C10" s="14" t="n">
        <x:v>4</x:v>
      </x:c>
      <x:c r="D10" s="14" t="n">
        <x:v>3.5</x:v>
      </x:c>
      <x:c r="E10" s="14" t="n">
        <x:v>5</x:v>
      </x:c>
      <x:c r="F10" s="14" t="n">
        <x:f>(C10+D10+E10)/3</x:f>
        <x:v>4.166666666666667</x:v>
      </x:c>
      <x:c r="G10" t="str">
        <x:f>IF(F10&gt;=7,"Aprovado",IF(F10&gt;=5,"Final","Reprovado"))</x:f>
        <x:v>Reprovado</x:v>
      </x:c>
    </x:row>
    <x:row r="11">
      <x:c r="A11" t="str">
        <x:v>2026008</x:v>
      </x:c>
      <x:c r="B11" t="str">
        <x:v>EC301</x:v>
      </x:c>
      <x:c r="C11" s="14" t="n">
        <x:v>8.2</x:v>
      </x:c>
      <x:c r="D11" s="14" t="n">
        <x:v>8.6</x:v>
      </x:c>
      <x:c r="E11" s="14" t="n">
        <x:v>9</x:v>
      </x:c>
      <x:c r="F11" s="14" t="n">
        <x:f>(C11+D11+E11)/3</x:f>
        <x:v>8.6</x:v>
      </x:c>
      <x:c r="G11" t="str">
        <x:f>IF(F11&gt;=7,"Aprovado",IF(F11&gt;=5,"Final","Reprovado"))</x:f>
        <x:v>Aprovado</x:v>
      </x:c>
    </x:row>
    <x:row r="12">
      <x:c r="A12" t="str">
        <x:v>2026008</x:v>
      </x:c>
      <x:c r="B12" t="str">
        <x:v>EC302</x:v>
      </x:c>
      <x:c r="C12" s="14" t="n">
        <x:v>9</x:v>
      </x:c>
      <x:c r="D12" s="14" t="n">
        <x:v>9.4</x:v>
      </x:c>
      <x:c r="E12" s="14" t="n">
        <x:v>9.5</x:v>
      </x:c>
      <x:c r="F12" s="14" t="n">
        <x:f>(C12+D12+E12)/3</x:f>
        <x:v>9.299999999999999</x:v>
      </x:c>
      <x:c r="G12" t="str">
        <x:f>IF(F12&gt;=7,"Aprovado",IF(F12&gt;=5,"Final","Reprovado"))</x:f>
        <x:v>Aprovado</x:v>
      </x:c>
    </x:row>
    <x:row r="13">
      <x:c r="A13" t="str">
        <x:v>2026008</x:v>
      </x:c>
      <x:c r="B13" t="str">
        <x:v>EC304</x:v>
      </x:c>
      <x:c r="C13" s="14" t="n">
        <x:v>8.8</x:v>
      </x:c>
      <x:c r="D13" s="14" t="n">
        <x:v>9.1</x:v>
      </x:c>
      <x:c r="E13" s="14" t="n">
        <x:v>9.7</x:v>
      </x:c>
      <x:c r="F13" s="14" t="n">
        <x:f>(C13+D13+E13)/3</x:f>
        <x:v>9.2</x:v>
      </x:c>
      <x:c r="G13" t="str">
        <x:f>IF(F13&gt;=7,"Aprovado",IF(F13&gt;=5,"Final","Reprovado"))</x:f>
        <x:v>Aprovado</x:v>
      </x:c>
    </x:row>
  </x:sheetData>
  <x:pageMargins left="0.7" right="0.7" top="0.75" bottom="0.75" header="0.3" footer="0.3"/>
  <x:tableParts count="1">
    <x:tablePart xmlns:r="http://schemas.openxmlformats.org/officeDocument/2006/relationships" r:id="R34fe9fcd9ec441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</x:cols>
  <x:sheetData>
    <x:row r="1">
      <x:c r="A1" s="7" t="str">
        <x:v>Indicador</x:v>
      </x:c>
      <x:c r="B1" s="7" t="str">
        <x:v>Valor</x:v>
      </x:c>
    </x:row>
    <x:row r="2">
      <x:c r="A2" t="str">
        <x:v>Alunos ativos</x:v>
      </x:c>
      <x:c r="B2" t="n">
        <x:f>COUNTIF(Alunos!F2:F9,TRUE)</x:f>
        <x:v>0</x:v>
      </x:c>
    </x:row>
    <x:row r="3">
      <x:c r="A3" t="str">
        <x:v>Matrículas ativas</x:v>
      </x:c>
      <x:c r="B3" t="n">
        <x:f>COUNTIF(Matriculas!E2:E13,"Matriculado")</x:f>
        <x:v>11</x:v>
      </x:c>
    </x:row>
    <x:row r="4">
      <x:c r="A4" t="str">
        <x:v>Média geral</x:v>
      </x:c>
      <x:c r="B4" s="16" t="n">
        <x:f>AVERAGE(Notas!F2:F13)</x:f>
        <x:v>8.105555555555556</x:v>
      </x:c>
    </x:row>
    <x:row r="5">
      <x:c r="A5" t="str">
        <x:v>Aprovados</x:v>
      </x:c>
      <x:c r="B5" t="n">
        <x:f>COUNTIF(Notas!G2:G13,"Aprovado")</x:f>
        <x:v>11</x:v>
      </x:c>
    </x:row>
    <x:row r="6">
      <x:c r="A6" t="str">
        <x:v>Reprovados</x:v>
      </x:c>
      <x:c r="B6" t="n">
        <x:f>COUNTIF(Notas!G2:G13,"Reprovado")</x:f>
        <x:v>1</x:v>
      </x:c>
    </x:row>
  </x:sheetData>
  <x:pageMargins left="0.7" right="0.7" top="0.75" bottom="0.75" header="0.3" footer="0.3"/>
</x:worksheet>
</file>